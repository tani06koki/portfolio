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SUS\Desktop\Portfolio\Excel Project\"/>
    </mc:Choice>
  </mc:AlternateContent>
  <xr:revisionPtr revIDLastSave="0" documentId="13_ncr:1_{19357464-467A-4E76-AA4E-3F32D5411B18}" xr6:coauthVersionLast="47" xr6:coauthVersionMax="47" xr10:uidLastSave="{00000000-0000-0000-0000-000000000000}"/>
  <bookViews>
    <workbookView xWindow="-98" yWindow="-98" windowWidth="21795" windowHeight="11625" tabRatio="831" xr2:uid="{00000000-000D-0000-FFFF-FFFF00000000}"/>
  </bookViews>
  <sheets>
    <sheet name="Part2(a)" sheetId="1" r:id="rId1"/>
    <sheet name="Part2(b)" sheetId="16" r:id="rId2"/>
    <sheet name="Analysis IV - Solver Only" sheetId="9" r:id="rId3"/>
    <sheet name="Run Macro Here" sheetId="12" r:id="rId4"/>
    <sheet name="Part2(e,f)" sheetId="13" r:id="rId5"/>
    <sheet name="Part3" sheetId="14" r:id="rId6"/>
    <sheet name="Part4" sheetId="15" r:id="rId7"/>
  </sheets>
  <externalReferences>
    <externalReference r:id="rId8"/>
    <externalReference r:id="rId9"/>
  </externalReferences>
  <definedNames>
    <definedName name="_xleta.AVERAGE" hidden="1" xlm="1">#NAME?</definedName>
    <definedName name="_xleta.MAX" hidden="1" xlm="1">#NAME?</definedName>
    <definedName name="_xleta.TRANSPOSE" hidden="1" xlm="1">#NAME?</definedName>
    <definedName name="altm_ret">'Part2(a)'!$C$3:$C$62</definedName>
    <definedName name="amrc_ret">'Part2(a)'!$S$3:$S$62</definedName>
    <definedName name="appn_ret">'Part2(a)'!$D$3:$D$62</definedName>
    <definedName name="aprn_ret">'Part2(a)'!$H$3:$H$62</definedName>
    <definedName name="artna_ret">'Part2(a)'!$R$3:$R$62</definedName>
    <definedName name="atus_ret">'Part2(a)'!$G$3:$G$62</definedName>
    <definedName name="bkr_ret">'Part2(a)'!$N$3:$N$62</definedName>
    <definedName name="bxmt_ret">'Part2(a)'!$J$3:$J$62</definedName>
    <definedName name="corr_mat">'Part2(b)'!$B$28:$U$47</definedName>
    <definedName name="crd_ret">'Part2(a)'!$P$3:$P$62</definedName>
    <definedName name="dd">#REF!</definedName>
    <definedName name="dddd">#REF!</definedName>
    <definedName name="equal_w">'Part2(b)'!$C$50</definedName>
    <definedName name="ewr_annual_ret">'Part2(a)'!#REF!</definedName>
    <definedName name="ewr_annual_vol">'Part2(a)'!#REF!</definedName>
    <definedName name="ewr_ret">'Part2(a)'!#REF!</definedName>
    <definedName name="fph_ret">'Part2(a)'!$E$3:$E$62</definedName>
    <definedName name="hov_ret">'Part2(a)'!$K$3:$K$62</definedName>
    <definedName name="mgy_ret">'Part2(a)'!$T$3:$T$62</definedName>
    <definedName name="mog_ret">'Part2(a)'!$I$3:$I$62</definedName>
    <definedName name="Mu">'Part2(a)'!$B$67:$B$86</definedName>
    <definedName name="OMEGA">'Part2(b)'!$B$3:$U$22</definedName>
    <definedName name="port_P_ret">'Part2(b)'!$B$54:$B$113</definedName>
    <definedName name="Port_Q_ret">[1]Tut4!$G$2:$G$61</definedName>
    <definedName name="quad_ret">'Part2(a)'!$U$3:$U$62</definedName>
    <definedName name="r_">[2]function_call_function!$H$4</definedName>
    <definedName name="returns" localSheetId="3">#REF!</definedName>
    <definedName name="returns">#REF!</definedName>
    <definedName name="Rf">Part3!$B$2</definedName>
    <definedName name="S">[2]function_call_function!$H$3</definedName>
    <definedName name="sigma">[2]function_call_function!$H$6</definedName>
    <definedName name="soi_ret">'Part2(a)'!$F$3:$F$62</definedName>
    <definedName name="solver_adj" localSheetId="2" hidden="1">'Analysis IV - Solver Only'!$C$3:$C$22</definedName>
    <definedName name="solver_adj" localSheetId="3" hidden="1">'Run Macro Here'!$G$3:$G$22</definedName>
    <definedName name="solver_cvg" localSheetId="2" hidden="1">0.0001</definedName>
    <definedName name="solver_cvg" localSheetId="3" hidden="1">0.000001</definedName>
    <definedName name="solver_drv" localSheetId="2" hidden="1">1</definedName>
    <definedName name="solver_drv" localSheetId="3" hidden="1">1</definedName>
    <definedName name="solver_eng" localSheetId="2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2147483647</definedName>
    <definedName name="solver_itr" localSheetId="3" hidden="1">2147483647</definedName>
    <definedName name="solver_lhs1" localSheetId="2" hidden="1">'Analysis IV - Solver Only'!$C$26</definedName>
    <definedName name="solver_lhs1" localSheetId="3" hidden="1">'Run Macro Here'!$J$5</definedName>
    <definedName name="solver_lhs2" localSheetId="2" hidden="1">'Analysis IV - Solver Only'!$C$27</definedName>
    <definedName name="solver_lhs2" localSheetId="3" hidden="1">'Run Macro Here'!$J$4</definedName>
    <definedName name="solver_lhs3" localSheetId="2" hidden="1">'Analysis IV - Solver Only'!$C$3:$C$22</definedName>
    <definedName name="solver_mip" localSheetId="2" hidden="1">2147483647</definedName>
    <definedName name="solver_mip" localSheetId="3" hidden="1">2147483647</definedName>
    <definedName name="solver_mni" localSheetId="2" hidden="1">30</definedName>
    <definedName name="solver_mni" localSheetId="3" hidden="1">30</definedName>
    <definedName name="solver_mrt" localSheetId="2" hidden="1">0.075</definedName>
    <definedName name="solver_mrt" localSheetId="3" hidden="1">0.075</definedName>
    <definedName name="solver_msl" localSheetId="2" hidden="1">2</definedName>
    <definedName name="solver_msl" localSheetId="3" hidden="1">2</definedName>
    <definedName name="solver_neg" localSheetId="2" hidden="1">1</definedName>
    <definedName name="solver_neg" localSheetId="3" hidden="1">2</definedName>
    <definedName name="solver_nod" localSheetId="2" hidden="1">2147483647</definedName>
    <definedName name="solver_nod" localSheetId="3" hidden="1">2147483647</definedName>
    <definedName name="solver_num" localSheetId="2" hidden="1">2</definedName>
    <definedName name="solver_num" localSheetId="3" hidden="1">2</definedName>
    <definedName name="solver_nwt" localSheetId="2" hidden="1">1</definedName>
    <definedName name="solver_nwt" localSheetId="3" hidden="1">1</definedName>
    <definedName name="solver_opt" localSheetId="2" hidden="1">'Analysis IV - Solver Only'!$C$25</definedName>
    <definedName name="solver_opt" localSheetId="3" hidden="1">'Run Macro Here'!$J$3</definedName>
    <definedName name="solver_pre" localSheetId="2" hidden="1">0.000001</definedName>
    <definedName name="solver_pre" localSheetId="3" hidden="1">0.000001</definedName>
    <definedName name="solver_rbv" localSheetId="2" hidden="1">1</definedName>
    <definedName name="solver_rbv" localSheetId="3" hidden="1">1</definedName>
    <definedName name="solver_rel1" localSheetId="2" hidden="1">2</definedName>
    <definedName name="solver_rel1" localSheetId="3" hidden="1">2</definedName>
    <definedName name="solver_rel2" localSheetId="2" hidden="1">2</definedName>
    <definedName name="solver_rel2" localSheetId="3" hidden="1">2</definedName>
    <definedName name="solver_rel3" localSheetId="2" hidden="1">1</definedName>
    <definedName name="solver_rhs1" localSheetId="2" hidden="1">1</definedName>
    <definedName name="solver_rhs1" localSheetId="3" hidden="1">1</definedName>
    <definedName name="solver_rhs2" localSheetId="2" hidden="1">'Analysis IV - Solver Only'!$C$28</definedName>
    <definedName name="solver_rhs2" localSheetId="3" hidden="1">'Run Macro Here'!$J$6</definedName>
    <definedName name="solver_rhs3" localSheetId="2" hidden="1">0.2</definedName>
    <definedName name="solver_rlx" localSheetId="2" hidden="1">2</definedName>
    <definedName name="solver_rlx" localSheetId="3" hidden="1">2</definedName>
    <definedName name="solver_rsd" localSheetId="2" hidden="1">0</definedName>
    <definedName name="solver_rsd" localSheetId="3" hidden="1">0</definedName>
    <definedName name="solver_scl" localSheetId="2" hidden="1">1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2" hidden="1">100</definedName>
    <definedName name="solver_ssz" localSheetId="3" hidden="1">100</definedName>
    <definedName name="solver_tim" localSheetId="2" hidden="1">2147483647</definedName>
    <definedName name="solver_tim" localSheetId="3" hidden="1">2147483647</definedName>
    <definedName name="solver_tol" localSheetId="2" hidden="1">0.01</definedName>
    <definedName name="solver_tol" localSheetId="3" hidden="1">0.01</definedName>
    <definedName name="solver_typ" localSheetId="2" hidden="1">2</definedName>
    <definedName name="solver_typ" localSheetId="3" hidden="1">2</definedName>
    <definedName name="solver_val" localSheetId="2" hidden="1">0</definedName>
    <definedName name="solver_val" localSheetId="3" hidden="1">0</definedName>
    <definedName name="solver_ver" localSheetId="2" hidden="1">3</definedName>
    <definedName name="solver_ver" localSheetId="3" hidden="1">3</definedName>
    <definedName name="t">[2]function_call_function!$H$5</definedName>
    <definedName name="tcx_ret">'Part2(a)'!$Q$3:$Q$62</definedName>
    <definedName name="v_">[1]Tut4!$M$11:$M$14</definedName>
    <definedName name="V_1">[1]Tut4!$M$11</definedName>
    <definedName name="v_2">[1]Tut4!$M$12</definedName>
    <definedName name="v_3">[1]Tut4!$M$13</definedName>
    <definedName name="v_4">[1]Tut4!$M$14</definedName>
    <definedName name="viaca_ret">'Part2(a)'!$O$3:$O$62</definedName>
    <definedName name="Volatilities">'Part2(a)'!$E$67:$E$86</definedName>
    <definedName name="voxx_ret">'Part2(a)'!$M$3:$M$62</definedName>
    <definedName name="vwr_annual_ret">'Part2(a)'!#REF!</definedName>
    <definedName name="vwr_annual_vol">'Part2(a)'!#REF!</definedName>
    <definedName name="vwr_ret">'Part2(a)'!#REF!</definedName>
    <definedName name="w_">[1]Tut4!$K$11:$K$14</definedName>
    <definedName name="w_1">#REF!</definedName>
    <definedName name="w_2">#REF!</definedName>
    <definedName name="w_3">#REF!</definedName>
    <definedName name="w_4">[1]Tut4!$K$14</definedName>
    <definedName name="w_short">'Analysis IV - Solver Only'!$G$3:$G$22</definedName>
    <definedName name="w_without_short">'Analysis IV - Solver Only'!$C$3:$C$22</definedName>
    <definedName name="weight" localSheetId="3">'Run Macro Here'!$G$3:$G$22</definedName>
    <definedName name="weight">#REF!</definedName>
    <definedName name="wso_ret">'Part2(a)'!$L$3:$L$62</definedName>
    <definedName name="wttr_ret">'Part2(a)'!$B$3:$B$62</definedName>
    <definedName name="X">[2]function_call_function!$H$7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15" l="1"/>
  <c r="F45" i="15"/>
  <c r="D45" i="15"/>
  <c r="I7" i="14"/>
  <c r="H28" i="14"/>
  <c r="B54" i="16"/>
  <c r="B113" i="16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E73" i="16"/>
  <c r="B73" i="16"/>
  <c r="E72" i="16"/>
  <c r="B72" i="16"/>
  <c r="E71" i="16"/>
  <c r="B71" i="16"/>
  <c r="E70" i="16"/>
  <c r="B70" i="16"/>
  <c r="E69" i="16"/>
  <c r="B69" i="16"/>
  <c r="E68" i="16"/>
  <c r="B68" i="16"/>
  <c r="E67" i="16"/>
  <c r="B67" i="16"/>
  <c r="E66" i="16"/>
  <c r="B66" i="16"/>
  <c r="E65" i="16"/>
  <c r="B65" i="16"/>
  <c r="E64" i="16"/>
  <c r="B64" i="16"/>
  <c r="E63" i="16"/>
  <c r="B63" i="16"/>
  <c r="E62" i="16"/>
  <c r="B62" i="16"/>
  <c r="E61" i="16"/>
  <c r="B61" i="16"/>
  <c r="E60" i="16"/>
  <c r="B60" i="16"/>
  <c r="E59" i="16"/>
  <c r="B59" i="16"/>
  <c r="E58" i="16"/>
  <c r="B58" i="16"/>
  <c r="E57" i="16"/>
  <c r="B57" i="16"/>
  <c r="E56" i="16"/>
  <c r="B56" i="16"/>
  <c r="E55" i="16"/>
  <c r="B55" i="16"/>
  <c r="E54" i="16"/>
  <c r="C50" i="16"/>
  <c r="F28" i="14"/>
  <c r="G28" i="14" s="1"/>
  <c r="G27" i="14"/>
  <c r="H27" i="14"/>
  <c r="D38" i="14"/>
  <c r="F7" i="14"/>
  <c r="D27" i="14"/>
  <c r="B38" i="14" s="1"/>
  <c r="D37" i="14"/>
  <c r="D36" i="14"/>
  <c r="D35" i="14"/>
  <c r="D34" i="14"/>
  <c r="D33" i="14"/>
  <c r="D32" i="14"/>
  <c r="D31" i="14"/>
  <c r="D30" i="14"/>
  <c r="D29" i="14"/>
  <c r="D28" i="14"/>
  <c r="D7" i="14"/>
  <c r="D8" i="14"/>
  <c r="D9" i="14"/>
  <c r="D10" i="14"/>
  <c r="D11" i="14"/>
  <c r="D12" i="14"/>
  <c r="D13" i="14"/>
  <c r="D14" i="14"/>
  <c r="D15" i="14"/>
  <c r="D16" i="14"/>
  <c r="D6" i="14"/>
  <c r="F79" i="16" l="1"/>
  <c r="B30" i="13" s="1"/>
  <c r="F78" i="16"/>
  <c r="B29" i="13" s="1"/>
  <c r="E75" i="16"/>
  <c r="C17" i="14"/>
  <c r="B17" i="14"/>
  <c r="H6" i="14"/>
  <c r="D17" i="14"/>
  <c r="C38" i="14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32" i="13"/>
  <c r="E30" i="13"/>
  <c r="F30" i="13"/>
  <c r="G30" i="13"/>
  <c r="J30" i="13"/>
  <c r="G7" i="14" l="1"/>
  <c r="H7" i="14"/>
  <c r="G6" i="14"/>
  <c r="R38" i="16"/>
  <c r="C42" i="16"/>
  <c r="P8" i="16"/>
  <c r="G44" i="16"/>
  <c r="F19" i="16"/>
  <c r="Q20" i="16"/>
  <c r="B8" i="16"/>
  <c r="E10" i="16"/>
  <c r="R36" i="16"/>
  <c r="D18" i="16"/>
  <c r="S31" i="16"/>
  <c r="K5" i="16"/>
  <c r="C4" i="16"/>
  <c r="K12" i="16"/>
  <c r="B37" i="16"/>
  <c r="J20" i="16"/>
  <c r="B29" i="16"/>
  <c r="T46" i="16"/>
  <c r="C29" i="16"/>
  <c r="C46" i="16"/>
  <c r="R45" i="16"/>
  <c r="L7" i="16"/>
  <c r="F38" i="16"/>
  <c r="D32" i="16"/>
  <c r="U16" i="16"/>
  <c r="S12" i="16"/>
  <c r="R47" i="16"/>
  <c r="O35" i="16"/>
  <c r="I39" i="16"/>
  <c r="S39" i="16"/>
  <c r="S3" i="16"/>
  <c r="G34" i="16"/>
  <c r="U38" i="16"/>
  <c r="F40" i="16"/>
  <c r="G36" i="16"/>
  <c r="P3" i="16"/>
  <c r="P18" i="16"/>
  <c r="O10" i="16"/>
  <c r="E9" i="16"/>
  <c r="F36" i="16"/>
  <c r="J38" i="16"/>
  <c r="U3" i="16"/>
  <c r="J18" i="16"/>
  <c r="S30" i="16"/>
  <c r="L3" i="16"/>
  <c r="U30" i="16"/>
  <c r="O28" i="16"/>
  <c r="H28" i="16"/>
  <c r="R35" i="16"/>
  <c r="H31" i="16"/>
  <c r="T29" i="16"/>
  <c r="D19" i="16"/>
  <c r="C31" i="16"/>
  <c r="T6" i="16"/>
  <c r="L42" i="16"/>
  <c r="B16" i="16"/>
  <c r="T21" i="16"/>
  <c r="L5" i="16"/>
  <c r="P33" i="16"/>
  <c r="R44" i="16"/>
  <c r="M35" i="16"/>
  <c r="R33" i="16"/>
  <c r="H8" i="16"/>
  <c r="M18" i="16"/>
  <c r="L31" i="16"/>
  <c r="D41" i="16"/>
  <c r="N19" i="16"/>
  <c r="I7" i="16"/>
  <c r="K3" i="16"/>
  <c r="S46" i="16"/>
  <c r="N28" i="16"/>
  <c r="T44" i="16"/>
  <c r="S17" i="16"/>
  <c r="C19" i="16"/>
  <c r="L29" i="16"/>
  <c r="L46" i="16"/>
  <c r="H38" i="16"/>
  <c r="S37" i="16"/>
  <c r="I3" i="16"/>
  <c r="M40" i="16"/>
  <c r="L30" i="16"/>
  <c r="D17" i="16"/>
  <c r="U46" i="16"/>
  <c r="S6" i="16"/>
  <c r="S40" i="16"/>
  <c r="N47" i="16"/>
  <c r="M16" i="16"/>
  <c r="G3" i="16"/>
  <c r="T36" i="16"/>
  <c r="T18" i="16"/>
  <c r="I37" i="16"/>
  <c r="N42" i="16"/>
  <c r="M7" i="16"/>
  <c r="U12" i="16"/>
  <c r="T32" i="16"/>
  <c r="O36" i="16"/>
  <c r="L22" i="16"/>
  <c r="H17" i="16"/>
  <c r="F9" i="16"/>
  <c r="B28" i="16"/>
  <c r="N14" i="16"/>
  <c r="E15" i="16"/>
  <c r="P44" i="16"/>
  <c r="E21" i="16"/>
  <c r="P31" i="16"/>
  <c r="P13" i="16"/>
  <c r="F16" i="16"/>
  <c r="K20" i="16"/>
  <c r="P28" i="16"/>
  <c r="N33" i="16"/>
  <c r="H12" i="16"/>
  <c r="P15" i="16"/>
  <c r="P7" i="16"/>
  <c r="I46" i="16"/>
  <c r="M3" i="16"/>
  <c r="B44" i="16"/>
  <c r="Q41" i="16"/>
  <c r="S35" i="16"/>
  <c r="I16" i="16"/>
  <c r="S21" i="16"/>
  <c r="Q47" i="16"/>
  <c r="Q7" i="16"/>
  <c r="B13" i="16"/>
  <c r="O4" i="16"/>
  <c r="C22" i="16"/>
  <c r="G14" i="16"/>
  <c r="E5" i="16"/>
  <c r="S9" i="16"/>
  <c r="F42" i="16"/>
  <c r="R11" i="16"/>
  <c r="D8" i="16"/>
  <c r="P6" i="16"/>
  <c r="R20" i="16"/>
  <c r="H35" i="16"/>
  <c r="P22" i="16"/>
  <c r="S18" i="16"/>
  <c r="H11" i="16"/>
  <c r="S8" i="16"/>
  <c r="R31" i="16"/>
  <c r="B18" i="16"/>
  <c r="O38" i="16"/>
  <c r="M22" i="16"/>
  <c r="D38" i="16"/>
  <c r="O13" i="16"/>
  <c r="M28" i="16"/>
  <c r="F14" i="16"/>
  <c r="I19" i="16"/>
  <c r="Q16" i="16"/>
  <c r="U13" i="16"/>
  <c r="D13" i="16"/>
  <c r="B32" i="16"/>
  <c r="M15" i="16"/>
  <c r="Q28" i="16"/>
  <c r="N46" i="16"/>
  <c r="O22" i="16"/>
  <c r="U14" i="16"/>
  <c r="N6" i="16"/>
  <c r="Q11" i="16"/>
  <c r="Q40" i="16"/>
  <c r="E42" i="16"/>
  <c r="U18" i="16"/>
  <c r="D29" i="16"/>
  <c r="S38" i="16"/>
  <c r="O30" i="16"/>
  <c r="U43" i="16"/>
  <c r="N15" i="16"/>
  <c r="R21" i="16"/>
  <c r="T47" i="16"/>
  <c r="I13" i="16"/>
  <c r="K37" i="16"/>
  <c r="S36" i="16"/>
  <c r="N31" i="16"/>
  <c r="I9" i="16"/>
  <c r="T43" i="16"/>
  <c r="Q30" i="16"/>
  <c r="H42" i="16"/>
  <c r="J15" i="16"/>
  <c r="M34" i="16"/>
  <c r="T13" i="16"/>
  <c r="D36" i="16"/>
  <c r="P45" i="16"/>
  <c r="N38" i="16"/>
  <c r="H29" i="16"/>
  <c r="T10" i="16"/>
  <c r="R3" i="16"/>
  <c r="L6" i="16"/>
  <c r="O15" i="16"/>
  <c r="K38" i="16"/>
  <c r="L33" i="16"/>
  <c r="I15" i="16"/>
  <c r="T38" i="16"/>
  <c r="Q32" i="16"/>
  <c r="F33" i="16"/>
  <c r="P41" i="16"/>
  <c r="B21" i="16"/>
  <c r="E46" i="16"/>
  <c r="R19" i="16"/>
  <c r="I21" i="16"/>
  <c r="I42" i="16"/>
  <c r="G15" i="16"/>
  <c r="P16" i="16"/>
  <c r="I38" i="16"/>
  <c r="O19" i="16"/>
  <c r="M38" i="16"/>
  <c r="M5" i="16"/>
  <c r="M42" i="16"/>
  <c r="G38" i="16"/>
  <c r="U32" i="16"/>
  <c r="U22" i="16"/>
  <c r="J34" i="16"/>
  <c r="E18" i="16"/>
  <c r="L13" i="16"/>
  <c r="J4" i="16"/>
  <c r="F39" i="16"/>
  <c r="O20" i="16"/>
  <c r="S43" i="16"/>
  <c r="E31" i="16"/>
  <c r="F34" i="16"/>
  <c r="K18" i="16"/>
  <c r="R8" i="16"/>
  <c r="J12" i="16"/>
  <c r="M47" i="16"/>
  <c r="R37" i="16"/>
  <c r="O11" i="16"/>
  <c r="D15" i="16"/>
  <c r="F29" i="16"/>
  <c r="U33" i="16"/>
  <c r="S15" i="16"/>
  <c r="Q17" i="16"/>
  <c r="B10" i="16"/>
  <c r="H21" i="16"/>
  <c r="P47" i="16"/>
  <c r="K36" i="16"/>
  <c r="D5" i="16"/>
  <c r="P5" i="16"/>
  <c r="U4" i="16"/>
  <c r="J11" i="16"/>
  <c r="P9" i="16"/>
  <c r="R7" i="16"/>
  <c r="H41" i="16"/>
  <c r="C28" i="16"/>
  <c r="B11" i="16"/>
  <c r="F41" i="16"/>
  <c r="D37" i="16"/>
  <c r="N5" i="16"/>
  <c r="L37" i="16"/>
  <c r="C16" i="16"/>
  <c r="D44" i="16"/>
  <c r="U28" i="16"/>
  <c r="O14" i="16"/>
  <c r="F46" i="16"/>
  <c r="N34" i="16"/>
  <c r="N13" i="16"/>
  <c r="B35" i="16"/>
  <c r="I47" i="16"/>
  <c r="R12" i="16"/>
  <c r="T14" i="16"/>
  <c r="J40" i="16"/>
  <c r="I22" i="16"/>
  <c r="N16" i="16"/>
  <c r="I36" i="16"/>
  <c r="G32" i="16"/>
  <c r="P35" i="16"/>
  <c r="C35" i="16"/>
  <c r="T8" i="16"/>
  <c r="P38" i="16"/>
  <c r="I8" i="16"/>
  <c r="T34" i="16"/>
  <c r="F45" i="16"/>
  <c r="J3" i="16"/>
  <c r="H36" i="16"/>
  <c r="H43" i="16"/>
  <c r="E35" i="16"/>
  <c r="C6" i="16"/>
  <c r="R32" i="16"/>
  <c r="F30" i="16"/>
  <c r="R41" i="16"/>
  <c r="O8" i="16"/>
  <c r="F37" i="16"/>
  <c r="N18" i="16"/>
  <c r="R15" i="16"/>
  <c r="G41" i="16"/>
  <c r="F11" i="16"/>
  <c r="U40" i="16"/>
  <c r="D46" i="16"/>
  <c r="D40" i="16"/>
  <c r="P19" i="16"/>
  <c r="D31" i="16"/>
  <c r="P42" i="16"/>
  <c r="F18" i="16"/>
  <c r="E3" i="16"/>
  <c r="Q44" i="16"/>
  <c r="U5" i="16"/>
  <c r="E33" i="16"/>
  <c r="R40" i="16"/>
  <c r="C12" i="16"/>
  <c r="Q31" i="16"/>
  <c r="P29" i="16"/>
  <c r="D16" i="16"/>
  <c r="R4" i="16"/>
  <c r="P12" i="16"/>
  <c r="S32" i="16"/>
  <c r="L16" i="16"/>
  <c r="B39" i="16"/>
  <c r="M14" i="16"/>
  <c r="O9" i="16"/>
  <c r="J22" i="16"/>
  <c r="D22" i="16"/>
  <c r="Q5" i="16"/>
  <c r="Q3" i="16"/>
  <c r="H30" i="16"/>
  <c r="R39" i="16"/>
  <c r="H45" i="16"/>
  <c r="N43" i="16"/>
  <c r="I11" i="16"/>
  <c r="I6" i="16"/>
  <c r="R22" i="16"/>
  <c r="K16" i="16"/>
  <c r="M4" i="16"/>
  <c r="B15" i="16"/>
  <c r="R42" i="16"/>
  <c r="I30" i="16"/>
  <c r="J5" i="16"/>
  <c r="E20" i="16"/>
  <c r="I18" i="16"/>
  <c r="Q43" i="16"/>
  <c r="U15" i="16"/>
  <c r="K17" i="16"/>
  <c r="I33" i="16"/>
  <c r="M11" i="16"/>
  <c r="H37" i="16"/>
  <c r="G21" i="16"/>
  <c r="H40" i="16"/>
  <c r="Q19" i="16"/>
  <c r="T3" i="16"/>
  <c r="S29" i="16"/>
  <c r="F32" i="16"/>
  <c r="U21" i="16"/>
  <c r="Q33" i="16"/>
  <c r="C33" i="16"/>
  <c r="H16" i="16"/>
  <c r="L41" i="16"/>
  <c r="K14" i="16"/>
  <c r="C30" i="16"/>
  <c r="I35" i="16"/>
  <c r="S16" i="16"/>
  <c r="P4" i="16"/>
  <c r="K34" i="16"/>
  <c r="U37" i="16"/>
  <c r="J13" i="16"/>
  <c r="L12" i="16"/>
  <c r="H47" i="16"/>
  <c r="F10" i="16"/>
  <c r="C7" i="16"/>
  <c r="M9" i="16"/>
  <c r="N17" i="16"/>
  <c r="D20" i="16"/>
  <c r="Q37" i="16"/>
  <c r="K9" i="16"/>
  <c r="F8" i="16"/>
  <c r="K31" i="16"/>
  <c r="G42" i="16"/>
  <c r="E30" i="16"/>
  <c r="T45" i="16"/>
  <c r="O31" i="16"/>
  <c r="B4" i="16"/>
  <c r="T9" i="16"/>
  <c r="G29" i="16"/>
  <c r="T15" i="16"/>
  <c r="L4" i="16"/>
  <c r="E44" i="16"/>
  <c r="C32" i="16"/>
  <c r="Q10" i="16"/>
  <c r="K6" i="16"/>
  <c r="M36" i="16"/>
  <c r="D7" i="16"/>
  <c r="U8" i="16"/>
  <c r="N12" i="16"/>
  <c r="E4" i="16"/>
  <c r="G22" i="16"/>
  <c r="J36" i="16"/>
  <c r="R18" i="16"/>
  <c r="H19" i="16"/>
  <c r="D39" i="16"/>
  <c r="I43" i="16"/>
  <c r="O40" i="16"/>
  <c r="C14" i="16"/>
  <c r="O41" i="16"/>
  <c r="H39" i="16"/>
  <c r="S7" i="16"/>
  <c r="T30" i="16"/>
  <c r="I4" i="16"/>
  <c r="E37" i="16"/>
  <c r="J17" i="16"/>
  <c r="R16" i="16"/>
  <c r="G4" i="16"/>
  <c r="I12" i="16"/>
  <c r="B43" i="16"/>
  <c r="U36" i="16"/>
  <c r="P17" i="16"/>
  <c r="L17" i="16"/>
  <c r="L38" i="16"/>
  <c r="G20" i="16"/>
  <c r="E39" i="16"/>
  <c r="Q29" i="16"/>
  <c r="E38" i="16"/>
  <c r="G28" i="16"/>
  <c r="G43" i="16"/>
  <c r="T4" i="16"/>
  <c r="M20" i="16"/>
  <c r="B36" i="16"/>
  <c r="R29" i="16"/>
  <c r="U17" i="16"/>
  <c r="C3" i="16"/>
  <c r="G17" i="16"/>
  <c r="I41" i="16"/>
  <c r="H7" i="16"/>
  <c r="K44" i="16"/>
  <c r="M33" i="16"/>
  <c r="J31" i="16"/>
  <c r="K41" i="16"/>
  <c r="I40" i="16"/>
  <c r="F22" i="16"/>
  <c r="B45" i="16"/>
  <c r="G16" i="16"/>
  <c r="L20" i="16"/>
  <c r="B7" i="16"/>
  <c r="K10" i="16"/>
  <c r="S10" i="16"/>
  <c r="M32" i="16"/>
  <c r="L21" i="16"/>
  <c r="U19" i="16"/>
  <c r="D6" i="16"/>
  <c r="O7" i="16"/>
  <c r="C37" i="16"/>
  <c r="S42" i="16"/>
  <c r="M12" i="16"/>
  <c r="O34" i="16"/>
  <c r="N36" i="16"/>
  <c r="D43" i="16"/>
  <c r="B31" i="16"/>
  <c r="N35" i="16"/>
  <c r="B22" i="16"/>
  <c r="E34" i="16"/>
  <c r="T12" i="16"/>
  <c r="M21" i="16"/>
  <c r="E12" i="16"/>
  <c r="K45" i="16"/>
  <c r="B34" i="16"/>
  <c r="B42" i="16"/>
  <c r="L47" i="16"/>
  <c r="N30" i="16"/>
  <c r="L43" i="16"/>
  <c r="F13" i="16"/>
  <c r="I32" i="16"/>
  <c r="H3" i="16"/>
  <c r="N22" i="16"/>
  <c r="S44" i="16"/>
  <c r="P36" i="16"/>
  <c r="K42" i="16"/>
  <c r="L9" i="16"/>
  <c r="B46" i="16"/>
  <c r="G30" i="16"/>
  <c r="B9" i="16"/>
  <c r="Q42" i="16"/>
  <c r="I29" i="16"/>
  <c r="G40" i="16"/>
  <c r="M13" i="16"/>
  <c r="F3" i="16"/>
  <c r="O47" i="16"/>
  <c r="R43" i="16"/>
  <c r="R30" i="16"/>
  <c r="L11" i="16"/>
  <c r="E14" i="16"/>
  <c r="B6" i="16"/>
  <c r="L34" i="16"/>
  <c r="J19" i="16"/>
  <c r="B14" i="16"/>
  <c r="C43" i="16"/>
  <c r="K33" i="16"/>
  <c r="T7" i="16"/>
  <c r="P14" i="16"/>
  <c r="O21" i="16"/>
  <c r="U42" i="16"/>
  <c r="P46" i="16"/>
  <c r="P10" i="16"/>
  <c r="F35" i="16"/>
  <c r="H4" i="16"/>
  <c r="M8" i="16"/>
  <c r="H32" i="16"/>
  <c r="D45" i="16"/>
  <c r="L8" i="16"/>
  <c r="D3" i="16"/>
  <c r="N10" i="16"/>
  <c r="C11" i="16"/>
  <c r="F15" i="16"/>
  <c r="U29" i="16"/>
  <c r="J33" i="16"/>
  <c r="U20" i="16"/>
  <c r="T37" i="16"/>
  <c r="R10" i="16"/>
  <c r="J32" i="16"/>
  <c r="P43" i="16"/>
  <c r="E8" i="16"/>
  <c r="N41" i="16"/>
  <c r="D10" i="16"/>
  <c r="O44" i="16"/>
  <c r="C47" i="16"/>
  <c r="O6" i="16"/>
  <c r="K40" i="16"/>
  <c r="M45" i="16"/>
  <c r="F21" i="16"/>
  <c r="I44" i="16"/>
  <c r="P34" i="16"/>
  <c r="O5" i="16"/>
  <c r="Q39" i="16"/>
  <c r="M17" i="16"/>
  <c r="I45" i="16"/>
  <c r="J14" i="16"/>
  <c r="J16" i="16"/>
  <c r="G47" i="16"/>
  <c r="D9" i="16"/>
  <c r="D35" i="16"/>
  <c r="F44" i="16"/>
  <c r="S11" i="16"/>
  <c r="H46" i="16"/>
  <c r="K28" i="16"/>
  <c r="Q13" i="16"/>
  <c r="M30" i="16"/>
  <c r="F20" i="16"/>
  <c r="H33" i="16"/>
  <c r="M10" i="16"/>
  <c r="E32" i="16"/>
  <c r="U39" i="16"/>
  <c r="F31" i="16"/>
  <c r="C21" i="16"/>
  <c r="N3" i="16"/>
  <c r="L44" i="16"/>
  <c r="I31" i="16"/>
  <c r="J44" i="16"/>
  <c r="T33" i="16"/>
  <c r="T39" i="16"/>
  <c r="K22" i="16"/>
  <c r="J8" i="16"/>
  <c r="U45" i="16"/>
  <c r="Q45" i="16"/>
  <c r="E6" i="16"/>
  <c r="T41" i="16"/>
  <c r="B19" i="16"/>
  <c r="E43" i="16"/>
  <c r="G18" i="16"/>
  <c r="K8" i="16"/>
  <c r="B47" i="16"/>
  <c r="N32" i="16"/>
  <c r="R13" i="16"/>
  <c r="N20" i="16"/>
  <c r="C18" i="16"/>
  <c r="R14" i="16"/>
  <c r="P20" i="16"/>
  <c r="K30" i="16"/>
  <c r="G5" i="16"/>
  <c r="J21" i="16"/>
  <c r="D42" i="16"/>
  <c r="R17" i="16"/>
  <c r="C45" i="16"/>
  <c r="S22" i="16"/>
  <c r="U41" i="16"/>
  <c r="C15" i="16"/>
  <c r="I20" i="16"/>
  <c r="H15" i="16"/>
  <c r="J42" i="16"/>
  <c r="H20" i="16"/>
  <c r="F6" i="16"/>
  <c r="T5" i="16"/>
  <c r="H22" i="16"/>
  <c r="H34" i="16"/>
  <c r="L28" i="16"/>
  <c r="C41" i="16"/>
  <c r="G33" i="16"/>
  <c r="D47" i="16"/>
  <c r="K13" i="16"/>
  <c r="T16" i="16"/>
  <c r="L45" i="16"/>
  <c r="I14" i="16"/>
  <c r="E29" i="16"/>
  <c r="O46" i="16"/>
  <c r="K47" i="16"/>
  <c r="I17" i="16"/>
  <c r="G11" i="16"/>
  <c r="U6" i="16"/>
  <c r="G7" i="16"/>
  <c r="C8" i="16"/>
  <c r="U34" i="16"/>
  <c r="G8" i="16"/>
  <c r="E13" i="16"/>
  <c r="H44" i="16"/>
  <c r="C40" i="16"/>
  <c r="R6" i="16"/>
  <c r="E22" i="16"/>
  <c r="I28" i="16"/>
  <c r="E36" i="16"/>
  <c r="G39" i="16"/>
  <c r="O45" i="16"/>
  <c r="E11" i="16"/>
  <c r="N9" i="16"/>
  <c r="H5" i="16"/>
  <c r="E28" i="16"/>
  <c r="S5" i="16"/>
  <c r="C10" i="16"/>
  <c r="Q34" i="16"/>
  <c r="T40" i="16"/>
  <c r="K21" i="16"/>
  <c r="U35" i="16"/>
  <c r="S4" i="16"/>
  <c r="O16" i="16"/>
  <c r="Q14" i="16"/>
  <c r="O18" i="16"/>
  <c r="K32" i="16"/>
  <c r="J46" i="16"/>
  <c r="Q21" i="16"/>
  <c r="J43" i="16"/>
  <c r="G37" i="16"/>
  <c r="T42" i="16"/>
  <c r="N4" i="16"/>
  <c r="P32" i="16"/>
  <c r="L19" i="16"/>
  <c r="L14" i="16"/>
  <c r="H18" i="16"/>
  <c r="K11" i="16"/>
  <c r="K39" i="16"/>
  <c r="E47" i="16"/>
  <c r="I10" i="16"/>
  <c r="E19" i="16"/>
  <c r="O43" i="16"/>
  <c r="B17" i="16"/>
  <c r="P40" i="16"/>
  <c r="O32" i="16"/>
  <c r="D30" i="16"/>
  <c r="S20" i="16"/>
  <c r="K43" i="16"/>
  <c r="K19" i="16"/>
  <c r="S19" i="16"/>
  <c r="G9" i="16"/>
  <c r="Q46" i="16"/>
  <c r="N39" i="16"/>
  <c r="M39" i="16"/>
  <c r="M6" i="16"/>
  <c r="E45" i="16"/>
  <c r="D33" i="16"/>
  <c r="U31" i="16"/>
  <c r="T20" i="16"/>
  <c r="U47" i="16"/>
  <c r="N37" i="16"/>
  <c r="Q12" i="16"/>
  <c r="G19" i="16"/>
  <c r="L35" i="16"/>
  <c r="Q36" i="16"/>
  <c r="O33" i="16"/>
  <c r="B38" i="16"/>
  <c r="B3" i="16"/>
  <c r="H14" i="16"/>
  <c r="L40" i="16"/>
  <c r="E17" i="16"/>
  <c r="L10" i="16"/>
  <c r="K29" i="16"/>
  <c r="Q8" i="16"/>
  <c r="C13" i="16"/>
  <c r="E40" i="16"/>
  <c r="B30" i="16"/>
  <c r="Q35" i="16"/>
  <c r="J10" i="16"/>
  <c r="J35" i="16"/>
  <c r="T22" i="16"/>
  <c r="F12" i="16"/>
  <c r="F5" i="16"/>
  <c r="S13" i="16"/>
  <c r="N7" i="16"/>
  <c r="R46" i="16"/>
  <c r="R5" i="16"/>
  <c r="G35" i="16"/>
  <c r="S41" i="16"/>
  <c r="J7" i="16"/>
  <c r="C39" i="16"/>
  <c r="N44" i="16"/>
  <c r="B20" i="16"/>
  <c r="C36" i="16"/>
  <c r="B41" i="16"/>
  <c r="M29" i="16"/>
  <c r="M46" i="16"/>
  <c r="G46" i="16"/>
  <c r="Q6" i="16"/>
  <c r="N45" i="16"/>
  <c r="L15" i="16"/>
  <c r="J29" i="16"/>
  <c r="U10" i="16"/>
  <c r="G13" i="16"/>
  <c r="H6" i="16"/>
  <c r="R9" i="16"/>
  <c r="J28" i="16"/>
  <c r="C34" i="16"/>
  <c r="U9" i="16"/>
  <c r="J37" i="16"/>
  <c r="J30" i="16"/>
  <c r="D34" i="16"/>
  <c r="E7" i="16"/>
  <c r="G6" i="16"/>
  <c r="T19" i="16"/>
  <c r="O3" i="16"/>
  <c r="C9" i="16"/>
  <c r="P11" i="16"/>
  <c r="G10" i="16"/>
  <c r="J6" i="16"/>
  <c r="O42" i="16"/>
  <c r="S28" i="16"/>
  <c r="S34" i="16"/>
  <c r="D12" i="16"/>
  <c r="F28" i="16"/>
  <c r="E16" i="16"/>
  <c r="M37" i="16"/>
  <c r="B12" i="16"/>
  <c r="R34" i="16"/>
  <c r="J41" i="16"/>
  <c r="S45" i="16"/>
  <c r="M31" i="16"/>
  <c r="Q9" i="16"/>
  <c r="J45" i="16"/>
  <c r="F7" i="16"/>
  <c r="C44" i="16"/>
  <c r="F43" i="16"/>
  <c r="H9" i="16"/>
  <c r="K4" i="16"/>
  <c r="G45" i="16"/>
  <c r="C38" i="16"/>
  <c r="Q38" i="16"/>
  <c r="J47" i="16"/>
  <c r="I5" i="16"/>
  <c r="K35" i="16"/>
  <c r="O39" i="16"/>
  <c r="N8" i="16"/>
  <c r="Q15" i="16"/>
  <c r="U7" i="16"/>
  <c r="M43" i="16"/>
  <c r="U11" i="16"/>
  <c r="L18" i="16"/>
  <c r="G12" i="16"/>
  <c r="D28" i="16"/>
  <c r="O29" i="16"/>
  <c r="B33" i="16"/>
  <c r="O37" i="16"/>
  <c r="B40" i="16"/>
  <c r="L39" i="16"/>
  <c r="N11" i="16"/>
  <c r="O12" i="16"/>
  <c r="T35" i="16"/>
  <c r="T28" i="16"/>
  <c r="S14" i="16"/>
  <c r="T31" i="16"/>
  <c r="S33" i="16"/>
  <c r="L36" i="16"/>
  <c r="R28" i="16"/>
  <c r="M41" i="16"/>
  <c r="G31" i="16"/>
  <c r="C5" i="16"/>
  <c r="H13" i="16"/>
  <c r="D11" i="16"/>
  <c r="M19" i="16"/>
  <c r="F17" i="16"/>
  <c r="C20" i="16"/>
  <c r="N29" i="16"/>
  <c r="D14" i="16"/>
  <c r="M44" i="16"/>
  <c r="K15" i="16"/>
  <c r="D4" i="16"/>
  <c r="O17" i="16"/>
  <c r="I34" i="16"/>
  <c r="J9" i="16"/>
  <c r="H10" i="16"/>
  <c r="J39" i="16"/>
  <c r="F4" i="16"/>
  <c r="T17" i="16"/>
  <c r="E41" i="16"/>
  <c r="S47" i="16"/>
  <c r="Q4" i="16"/>
  <c r="P39" i="16"/>
  <c r="B5" i="16"/>
  <c r="P21" i="16"/>
  <c r="P30" i="16"/>
  <c r="K46" i="16"/>
  <c r="U44" i="16"/>
  <c r="F47" i="16"/>
  <c r="Q18" i="16"/>
  <c r="D21" i="16"/>
  <c r="P37" i="16"/>
  <c r="K7" i="16"/>
  <c r="N21" i="16"/>
  <c r="N40" i="16"/>
  <c r="Q22" i="16"/>
  <c r="T11" i="16"/>
  <c r="L32" i="16"/>
  <c r="C17" i="16"/>
  <c r="C4" i="13" l="1"/>
  <c r="B4" i="13"/>
  <c r="C5" i="13" l="1"/>
  <c r="B5" i="13"/>
  <c r="G26" i="9" l="1"/>
  <c r="C60" i="9"/>
  <c r="C59" i="9"/>
  <c r="C58" i="9"/>
  <c r="C57" i="9"/>
  <c r="C56" i="9"/>
  <c r="C55" i="9"/>
  <c r="C54" i="9"/>
  <c r="C53" i="9"/>
  <c r="C52" i="9"/>
  <c r="C51" i="9"/>
  <c r="C50" i="9"/>
  <c r="C26" i="9"/>
  <c r="G51" i="9"/>
  <c r="G52" i="9"/>
  <c r="G53" i="9"/>
  <c r="G54" i="9"/>
  <c r="G55" i="9"/>
  <c r="G56" i="9"/>
  <c r="G57" i="9"/>
  <c r="G58" i="9"/>
  <c r="G59" i="9"/>
  <c r="G60" i="9"/>
  <c r="G50" i="9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8" i="1"/>
  <c r="E69" i="1"/>
  <c r="E6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C38" i="12"/>
  <c r="C29" i="12"/>
  <c r="C30" i="12"/>
  <c r="C31" i="12"/>
  <c r="C32" i="12"/>
  <c r="C33" i="12"/>
  <c r="C34" i="12"/>
  <c r="C35" i="12"/>
  <c r="C36" i="12"/>
  <c r="C37" i="12"/>
  <c r="C28" i="12"/>
  <c r="J5" i="12"/>
  <c r="D35" i="9" l="1"/>
  <c r="D50" i="9" s="1"/>
  <c r="H37" i="9"/>
  <c r="H52" i="9" s="1"/>
  <c r="C28" i="9" a="1"/>
  <c r="C28" i="9" s="1"/>
  <c r="D45" i="9"/>
  <c r="D60" i="9" s="1"/>
  <c r="D43" i="9"/>
  <c r="D58" i="9" s="1"/>
  <c r="H38" i="9"/>
  <c r="H53" i="9" s="1"/>
  <c r="E29" i="13" s="1"/>
  <c r="D44" i="9"/>
  <c r="D59" i="9" s="1"/>
  <c r="H40" i="9"/>
  <c r="H55" i="9" s="1"/>
  <c r="D42" i="9"/>
  <c r="D57" i="9" s="1"/>
  <c r="H41" i="9"/>
  <c r="H56" i="9" s="1"/>
  <c r="D41" i="9"/>
  <c r="D56" i="9" s="1"/>
  <c r="H36" i="9"/>
  <c r="H51" i="9" s="1"/>
  <c r="H39" i="9"/>
  <c r="H54" i="9" s="1"/>
  <c r="H42" i="9"/>
  <c r="H57" i="9" s="1"/>
  <c r="D40" i="9"/>
  <c r="D55" i="9" s="1"/>
  <c r="J29" i="13" s="1"/>
  <c r="H43" i="9"/>
  <c r="H58" i="9" s="1"/>
  <c r="D39" i="9"/>
  <c r="D54" i="9" s="1"/>
  <c r="H44" i="9"/>
  <c r="H59" i="9" s="1"/>
  <c r="F29" i="13" s="1"/>
  <c r="D38" i="9"/>
  <c r="D53" i="9" s="1"/>
  <c r="H45" i="9"/>
  <c r="H60" i="9" s="1"/>
  <c r="G29" i="13" s="1"/>
  <c r="D37" i="9"/>
  <c r="D52" i="9" s="1"/>
  <c r="G28" i="9" a="1"/>
  <c r="G28" i="9" s="1"/>
  <c r="D36" i="9"/>
  <c r="D51" i="9" s="1"/>
  <c r="H35" i="9"/>
  <c r="H50" i="9" s="1"/>
  <c r="D9" i="12"/>
  <c r="D34" i="12" s="1"/>
  <c r="D4" i="12"/>
  <c r="D29" i="12" s="1"/>
  <c r="D8" i="12"/>
  <c r="D33" i="12" s="1"/>
  <c r="D7" i="12"/>
  <c r="D32" i="12" s="1"/>
  <c r="D10" i="12"/>
  <c r="D35" i="12" s="1"/>
  <c r="J4" i="12" a="1"/>
  <c r="J4" i="12" s="1"/>
  <c r="D3" i="12"/>
  <c r="D28" i="12" s="1"/>
  <c r="D13" i="12"/>
  <c r="D38" i="12" s="1"/>
  <c r="D12" i="12"/>
  <c r="D37" i="12" s="1"/>
  <c r="D11" i="12"/>
  <c r="D36" i="12" s="1"/>
  <c r="D6" i="12"/>
  <c r="D31" i="12" s="1"/>
  <c r="D5" i="12"/>
  <c r="D30" i="12" s="1"/>
  <c r="A67" i="1" a="1"/>
  <c r="A67" i="1" s="1"/>
  <c r="C86" i="1"/>
  <c r="F86" i="1"/>
  <c r="F81" i="1"/>
  <c r="C67" i="1"/>
  <c r="C80" i="1"/>
  <c r="C83" i="1"/>
  <c r="C70" i="1"/>
  <c r="C78" i="1"/>
  <c r="C69" i="1"/>
  <c r="F82" i="1"/>
  <c r="F67" i="1"/>
  <c r="C68" i="1"/>
  <c r="F83" i="1"/>
  <c r="F68" i="1"/>
  <c r="C74" i="1"/>
  <c r="F78" i="1"/>
  <c r="C71" i="1"/>
  <c r="C79" i="1"/>
  <c r="C75" i="1"/>
  <c r="F70" i="1"/>
  <c r="F71" i="1"/>
  <c r="C84" i="1"/>
  <c r="C77" i="1"/>
  <c r="F77" i="1"/>
  <c r="F73" i="1"/>
  <c r="F72" i="1"/>
  <c r="F84" i="1"/>
  <c r="F76" i="1"/>
  <c r="C85" i="1"/>
  <c r="C72" i="1"/>
  <c r="C81" i="1"/>
  <c r="F69" i="1"/>
  <c r="F79" i="1"/>
  <c r="F85" i="1"/>
  <c r="C82" i="1"/>
  <c r="F80" i="1"/>
  <c r="C73" i="1"/>
  <c r="F74" i="1"/>
  <c r="C76" i="1"/>
  <c r="F75" i="1"/>
  <c r="BK5" i="1" l="1"/>
  <c r="BK6" i="1" s="1"/>
  <c r="BJ5" i="1"/>
  <c r="BI5" i="1"/>
  <c r="BG5" i="1"/>
  <c r="BK3" i="1"/>
  <c r="BK4" i="1" s="1"/>
  <c r="BJ3" i="1"/>
  <c r="BI3" i="1"/>
  <c r="BH5" i="1"/>
  <c r="BH3" i="1"/>
  <c r="BG3" i="1"/>
  <c r="BF5" i="1"/>
  <c r="BF6" i="1" s="1"/>
  <c r="BF3" i="1"/>
  <c r="BF4" i="1" s="1"/>
  <c r="BE3" i="1"/>
  <c r="BE4" i="1" s="1"/>
  <c r="BE5" i="1"/>
  <c r="BE6" i="1" s="1"/>
  <c r="BJ6" i="1" l="1"/>
  <c r="BI6" i="1"/>
  <c r="BH6" i="1"/>
  <c r="BG6" i="1"/>
  <c r="BD5" i="1"/>
  <c r="BD6" i="1" s="1"/>
  <c r="BC5" i="1"/>
  <c r="BC6" i="1" s="1"/>
  <c r="BB5" i="1"/>
  <c r="BB6" i="1" s="1"/>
  <c r="BA5" i="1"/>
  <c r="BA6" i="1" s="1"/>
  <c r="AZ5" i="1"/>
  <c r="AZ6" i="1" s="1"/>
  <c r="AY5" i="1"/>
  <c r="AY6" i="1" s="1"/>
  <c r="AX5" i="1"/>
  <c r="AX6" i="1" s="1"/>
  <c r="AW5" i="1"/>
  <c r="AW6" i="1" s="1"/>
  <c r="AV5" i="1"/>
  <c r="AV6" i="1" s="1"/>
  <c r="AU5" i="1"/>
  <c r="AU6" i="1" s="1"/>
  <c r="AT5" i="1"/>
  <c r="AT6" i="1" s="1"/>
  <c r="AS5" i="1"/>
  <c r="AS6" i="1" s="1"/>
  <c r="BJ4" i="1"/>
  <c r="BI4" i="1"/>
  <c r="BH4" i="1"/>
  <c r="BG4" i="1"/>
  <c r="BD3" i="1"/>
  <c r="BD4" i="1" s="1"/>
  <c r="BC3" i="1"/>
  <c r="BC4" i="1" s="1"/>
  <c r="BB3" i="1"/>
  <c r="BB4" i="1" s="1"/>
  <c r="BA3" i="1"/>
  <c r="BA4" i="1" s="1"/>
  <c r="AZ3" i="1"/>
  <c r="AZ4" i="1" s="1"/>
  <c r="AY3" i="1"/>
  <c r="AY4" i="1" s="1"/>
  <c r="AX3" i="1"/>
  <c r="AX4" i="1" s="1"/>
  <c r="AW3" i="1"/>
  <c r="AW4" i="1" s="1"/>
  <c r="AV3" i="1"/>
  <c r="AV4" i="1" s="1"/>
  <c r="AU3" i="1"/>
  <c r="AU4" i="1" s="1"/>
  <c r="AT3" i="1"/>
  <c r="AT4" i="1" s="1"/>
  <c r="AS3" i="1"/>
  <c r="AS4" i="1" s="1"/>
  <c r="G25" i="9" l="1" a="1"/>
  <c r="G25" i="9" s="1"/>
  <c r="G30" i="9" s="1"/>
  <c r="C25" i="9" a="1"/>
  <c r="C25" i="9" s="1"/>
  <c r="J3" i="12" a="1"/>
  <c r="J3" i="12" s="1"/>
  <c r="K3" i="12" s="1"/>
  <c r="C30" i="9" l="1"/>
  <c r="D30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<sst xmlns="http://schemas.openxmlformats.org/spreadsheetml/2006/main" count="394" uniqueCount="155">
  <si>
    <t>date</t>
  </si>
  <si>
    <t>Company 1</t>
  </si>
  <si>
    <t>Company 2</t>
  </si>
  <si>
    <t>Company 3</t>
  </si>
  <si>
    <t>Company 4</t>
  </si>
  <si>
    <t>Company 5</t>
  </si>
  <si>
    <t>Company 6</t>
  </si>
  <si>
    <t>Company 7</t>
  </si>
  <si>
    <t>Company 8</t>
  </si>
  <si>
    <t>Company 9</t>
  </si>
  <si>
    <t>Company 10</t>
  </si>
  <si>
    <t>Company 11</t>
  </si>
  <si>
    <t>Company 12</t>
  </si>
  <si>
    <t>Company 13</t>
  </si>
  <si>
    <t>Company 14</t>
  </si>
  <si>
    <t>Company 15</t>
  </si>
  <si>
    <t>Company 16</t>
  </si>
  <si>
    <t>Company 17</t>
  </si>
  <si>
    <t>Company 18</t>
  </si>
  <si>
    <t>Company 19</t>
  </si>
  <si>
    <t>Company 20</t>
  </si>
  <si>
    <t>VWR</t>
  </si>
  <si>
    <t>EWR</t>
  </si>
  <si>
    <t>Monthly Volatility</t>
  </si>
  <si>
    <t>Average Monthly Return</t>
  </si>
  <si>
    <t>Annualized return</t>
  </si>
  <si>
    <t>Annualized Volatility</t>
  </si>
  <si>
    <t>Target</t>
  </si>
  <si>
    <t>The following is the data for the plotting</t>
  </si>
  <si>
    <t>Percentile</t>
  </si>
  <si>
    <t>Ret value</t>
  </si>
  <si>
    <t>Weight</t>
  </si>
  <si>
    <t>Port Volatility</t>
  </si>
  <si>
    <t>Port var</t>
  </si>
  <si>
    <t>Port ret</t>
  </si>
  <si>
    <t>Weight sum</t>
  </si>
  <si>
    <t>Annual Volatility</t>
  </si>
  <si>
    <t>Annual Exp Return</t>
  </si>
  <si>
    <t>Exp Return monthly</t>
  </si>
  <si>
    <t>Volatility Monthly</t>
  </si>
  <si>
    <t>Mu</t>
  </si>
  <si>
    <t>Without short selling</t>
  </si>
  <si>
    <t>With short selling</t>
  </si>
  <si>
    <t>WTTR</t>
  </si>
  <si>
    <t>ALTM</t>
  </si>
  <si>
    <t>APPN</t>
  </si>
  <si>
    <t>FPH</t>
  </si>
  <si>
    <t>SOI</t>
  </si>
  <si>
    <t>ATUS</t>
  </si>
  <si>
    <t>APRN</t>
  </si>
  <si>
    <t>MOG</t>
  </si>
  <si>
    <t>BXMT</t>
  </si>
  <si>
    <t>HOV</t>
  </si>
  <si>
    <t>WSO</t>
  </si>
  <si>
    <t>VOXX</t>
  </si>
  <si>
    <t>BKR</t>
  </si>
  <si>
    <t>VIACA</t>
  </si>
  <si>
    <t>CRD</t>
  </si>
  <si>
    <t>TCX</t>
  </si>
  <si>
    <t>ARTNA</t>
  </si>
  <si>
    <t>AMRC</t>
  </si>
  <si>
    <t>QUAD</t>
  </si>
  <si>
    <t>MGY</t>
  </si>
  <si>
    <t>WTTR_ret</t>
  </si>
  <si>
    <t>ALTM_ret</t>
  </si>
  <si>
    <t>APPN_ret</t>
  </si>
  <si>
    <t>FPH_ret</t>
  </si>
  <si>
    <t>SOI_ret</t>
  </si>
  <si>
    <t>ATUS_ret</t>
  </si>
  <si>
    <t>APRN_ret</t>
  </si>
  <si>
    <t>MOG_ret</t>
  </si>
  <si>
    <t>BXMT_ret</t>
  </si>
  <si>
    <t>HOV_ret</t>
  </si>
  <si>
    <t>WSO_ret</t>
  </si>
  <si>
    <t>VOXX_ret</t>
  </si>
  <si>
    <t>BKR_ret</t>
  </si>
  <si>
    <t>VIACA_ret</t>
  </si>
  <si>
    <t>CRD_ret</t>
  </si>
  <si>
    <t>TCX_ret</t>
  </si>
  <si>
    <t>ARTNA_ret</t>
  </si>
  <si>
    <t>BHGE / BKR</t>
  </si>
  <si>
    <t>AMRC_ret</t>
  </si>
  <si>
    <t>MGY_ret</t>
  </si>
  <si>
    <t>Annual Return</t>
  </si>
  <si>
    <t>Volatilities</t>
  </si>
  <si>
    <t>i. Covariance</t>
  </si>
  <si>
    <t>i. Correlation</t>
  </si>
  <si>
    <t>Equal Percentage</t>
  </si>
  <si>
    <t>Investment amount</t>
  </si>
  <si>
    <t>w_1</t>
  </si>
  <si>
    <t>w_2</t>
  </si>
  <si>
    <t>w_3</t>
  </si>
  <si>
    <t>w_4</t>
  </si>
  <si>
    <t>w_5</t>
  </si>
  <si>
    <t>w_6</t>
  </si>
  <si>
    <t>w_7</t>
  </si>
  <si>
    <t>w_8</t>
  </si>
  <si>
    <t>w_9</t>
  </si>
  <si>
    <t>w_10</t>
  </si>
  <si>
    <t>w_11</t>
  </si>
  <si>
    <t>w_12</t>
  </si>
  <si>
    <t>w_13</t>
  </si>
  <si>
    <t>w_14</t>
  </si>
  <si>
    <t>w_15</t>
  </si>
  <si>
    <t>w_16</t>
  </si>
  <si>
    <t>w_17</t>
  </si>
  <si>
    <t>w_18</t>
  </si>
  <si>
    <t>w_19</t>
  </si>
  <si>
    <t>sum_w</t>
  </si>
  <si>
    <t>Average Annual Port P ret</t>
  </si>
  <si>
    <t>Annual Portfolio volatilities</t>
  </si>
  <si>
    <t>QUAD_ret</t>
  </si>
  <si>
    <t>Var of Port P</t>
  </si>
  <si>
    <t>Weight Sum</t>
  </si>
  <si>
    <t>Mu_target</t>
  </si>
  <si>
    <t>Exp Ret on Port P</t>
  </si>
  <si>
    <t>Vol of Port P</t>
  </si>
  <si>
    <t>w_20</t>
  </si>
  <si>
    <t>w_without_short</t>
  </si>
  <si>
    <t>w_short</t>
  </si>
  <si>
    <t>e)</t>
  </si>
  <si>
    <t>f)</t>
  </si>
  <si>
    <t>Annualized Returns</t>
  </si>
  <si>
    <t>Standard Deviation</t>
  </si>
  <si>
    <t>Weights</t>
  </si>
  <si>
    <t>Low-Risk</t>
  </si>
  <si>
    <t>Medium-Risk</t>
  </si>
  <si>
    <t>High-Risk</t>
  </si>
  <si>
    <t>With short Seling</t>
  </si>
  <si>
    <t>Without short Seling</t>
  </si>
  <si>
    <t>Equally Weighted Portfolio</t>
  </si>
  <si>
    <t>port_equal_ret</t>
  </si>
  <si>
    <t>Rf</t>
  </si>
  <si>
    <t>Without Short Selling</t>
  </si>
  <si>
    <t>Sharpe Ratio</t>
  </si>
  <si>
    <t xml:space="preserve">Annual Volatility </t>
  </si>
  <si>
    <t>Capital Market Line</t>
  </si>
  <si>
    <t>Optimal portfolio:</t>
  </si>
  <si>
    <t>With Short Selling</t>
  </si>
  <si>
    <t>Real Estate</t>
  </si>
  <si>
    <t>Energy </t>
  </si>
  <si>
    <t>Technology</t>
  </si>
  <si>
    <t>Communication services</t>
  </si>
  <si>
    <t>Consumer cyclical</t>
  </si>
  <si>
    <t>Industrials</t>
  </si>
  <si>
    <t>Communication Services</t>
  </si>
  <si>
    <t>Financial Services</t>
  </si>
  <si>
    <t>Utilities</t>
  </si>
  <si>
    <t>Stock</t>
  </si>
  <si>
    <t>Sector</t>
  </si>
  <si>
    <t>Sum</t>
  </si>
  <si>
    <t>Grand Total</t>
  </si>
  <si>
    <t>Low-Risk Port.</t>
  </si>
  <si>
    <t>Medium-Risk Port.</t>
  </si>
  <si>
    <t>High-Risk Port.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</si>
</sst>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0.0000"/>
    <numFmt numFmtId="165" formatCode="0.00000"/>
    <numFmt numFmtId="166" formatCode="0.0000%"/>
    <numFmt numFmtId="167" formatCode="0.000%"/>
    <numFmt numFmtId="168" formatCode="0.00000000%"/>
    <numFmt numFmtId="169" formatCode="0.0000000000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0" fontId="2" fillId="0" borderId="0"/>
    <xf numFmtId="9" fontId="4" fillId="0" borderId="0" applyFont="0" applyFill="0" applyBorder="0" applyAlignment="0" applyProtection="0"/>
  </cellStyleXfs>
  <cellXfs count="42">
    <xf numFmtId="0" fontId="0" fillId="0" borderId="0" xfId="0"/>
    <xf numFmtId="0" fontId="0" fillId="3" borderId="0" xfId="0" applyFill="1"/>
    <xf numFmtId="0" fontId="0" fillId="3" borderId="1" xfId="0" applyFill="1" applyBorder="1"/>
    <xf numFmtId="0" fontId="0" fillId="3" borderId="2" xfId="0" applyFill="1" applyBorder="1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3" borderId="2" xfId="0" applyFill="1" applyBorder="1" applyAlignment="1">
      <alignment horizontal="center"/>
    </xf>
    <xf numFmtId="14" fontId="2" fillId="0" borderId="0" xfId="1" applyNumberFormat="1"/>
    <xf numFmtId="0" fontId="0" fillId="3" borderId="1" xfId="0" applyFill="1" applyBorder="1" applyAlignment="1">
      <alignment horizontal="center"/>
    </xf>
    <xf numFmtId="0" fontId="0" fillId="0" borderId="3" xfId="0" applyBorder="1"/>
    <xf numFmtId="164" fontId="0" fillId="0" borderId="3" xfId="0" applyNumberFormat="1" applyBorder="1"/>
    <xf numFmtId="0" fontId="3" fillId="0" borderId="3" xfId="0" applyFont="1" applyBorder="1"/>
    <xf numFmtId="0" fontId="3" fillId="3" borderId="3" xfId="0" applyFont="1" applyFill="1" applyBorder="1" applyAlignment="1">
      <alignment horizontal="center"/>
    </xf>
    <xf numFmtId="164" fontId="0" fillId="0" borderId="1" xfId="0" applyNumberFormat="1" applyBorder="1"/>
    <xf numFmtId="164" fontId="0" fillId="2" borderId="1" xfId="0" applyNumberFormat="1" applyFill="1" applyBorder="1"/>
    <xf numFmtId="164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/>
    <xf numFmtId="166" fontId="0" fillId="0" borderId="0" xfId="2" applyNumberFormat="1" applyFont="1" applyBorder="1" applyAlignment="1"/>
    <xf numFmtId="44" fontId="0" fillId="0" borderId="0" xfId="0" applyNumberFormat="1"/>
    <xf numFmtId="0" fontId="5" fillId="0" borderId="0" xfId="0" applyFont="1"/>
    <xf numFmtId="164" fontId="1" fillId="0" borderId="0" xfId="0" applyNumberFormat="1" applyFont="1"/>
    <xf numFmtId="164" fontId="1" fillId="4" borderId="0" xfId="0" applyNumberFormat="1" applyFont="1" applyFill="1"/>
    <xf numFmtId="10" fontId="0" fillId="0" borderId="0" xfId="2" applyNumberFormat="1" applyFont="1"/>
    <xf numFmtId="166" fontId="0" fillId="0" borderId="0" xfId="2" applyNumberFormat="1" applyFont="1"/>
    <xf numFmtId="10" fontId="0" fillId="0" borderId="0" xfId="0" applyNumberFormat="1"/>
    <xf numFmtId="164" fontId="0" fillId="0" borderId="0" xfId="2" applyNumberFormat="1" applyFont="1"/>
    <xf numFmtId="165" fontId="0" fillId="0" borderId="0" xfId="0" applyNumberFormat="1"/>
    <xf numFmtId="165" fontId="0" fillId="0" borderId="0" xfId="2" applyNumberFormat="1" applyFont="1"/>
    <xf numFmtId="168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7" fillId="6" borderId="0" xfId="0" applyFont="1" applyFill="1"/>
    <xf numFmtId="0" fontId="7" fillId="0" borderId="0" xfId="0" applyFont="1"/>
    <xf numFmtId="0" fontId="0" fillId="5" borderId="0" xfId="0" applyFill="1"/>
    <xf numFmtId="0" fontId="0" fillId="0" borderId="0" xfId="0" applyAlignment="1">
      <alignment horizontal="center"/>
    </xf>
    <xf numFmtId="169" fontId="0" fillId="0" borderId="0" xfId="0" applyNumberFormat="1"/>
    <xf numFmtId="17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</cellXfs>
  <cellStyles count="3">
    <cellStyle name="Normal" xfId="0" builtinId="0"/>
    <cellStyle name="Normal 2" xfId="1" xr:uid="{6120CCA9-159B-4B4D-A403-C84332C7D5E5}"/>
    <cellStyle name="Percent" xfId="2" builtinId="5"/>
  </cellStyles>
  <dxfs count="0"/>
  <tableStyles count="0" defaultTableStyle="TableStyleMedium2" defaultPivotStyle="PivotStyleLight16"/>
  <colors>
    <mruColors>
      <color rgb="FF0000FF"/>
      <color rgb="FFF5C0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eetMetadata" Target="metadata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Without Short Selling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'Analysis IV - Solver Only'!$C$50:$C$60</c:f>
              <c:numCache>
                <c:formatCode>0.00%</c:formatCode>
                <c:ptCount val="11"/>
                <c:pt idx="0">
                  <c:v>0.42998266961433468</c:v>
                </c:pt>
                <c:pt idx="1">
                  <c:v>0.22808583079720765</c:v>
                </c:pt>
                <c:pt idx="2">
                  <c:v>0.18298873596272272</c:v>
                </c:pt>
                <c:pt idx="3">
                  <c:v>0.15985629661643114</c:v>
                </c:pt>
                <c:pt idx="4">
                  <c:v>0.15123888422593465</c:v>
                </c:pt>
                <c:pt idx="5">
                  <c:v>0.14715476108601719</c:v>
                </c:pt>
                <c:pt idx="6">
                  <c:v>0.15274997360718054</c:v>
                </c:pt>
                <c:pt idx="7">
                  <c:v>0.16540360365461135</c:v>
                </c:pt>
                <c:pt idx="8">
                  <c:v>0.22160903812450647</c:v>
                </c:pt>
                <c:pt idx="9">
                  <c:v>0.31240566962036842</c:v>
                </c:pt>
                <c:pt idx="10">
                  <c:v>0.57642656360362343</c:v>
                </c:pt>
              </c:numCache>
            </c:numRef>
          </c:xVal>
          <c:yVal>
            <c:numRef>
              <c:f>'Analysis IV - Solver Only'!$D$50:$D$60</c:f>
              <c:numCache>
                <c:formatCode>0.00%</c:formatCode>
                <c:ptCount val="11"/>
                <c:pt idx="0">
                  <c:v>-0.26028276636672698</c:v>
                </c:pt>
                <c:pt idx="1">
                  <c:v>-9.4624886310278516E-2</c:v>
                </c:pt>
                <c:pt idx="2">
                  <c:v>-1.8854263053492366E-2</c:v>
                </c:pt>
                <c:pt idx="3">
                  <c:v>3.7834429431482929E-2</c:v>
                </c:pt>
                <c:pt idx="4">
                  <c:v>6.8817613437844358E-2</c:v>
                </c:pt>
                <c:pt idx="5">
                  <c:v>0.10167651039202449</c:v>
                </c:pt>
                <c:pt idx="6">
                  <c:v>0.13367152782645364</c:v>
                </c:pt>
                <c:pt idx="7">
                  <c:v>0.17166820758589676</c:v>
                </c:pt>
                <c:pt idx="8">
                  <c:v>0.26646341727010664</c:v>
                </c:pt>
                <c:pt idx="9">
                  <c:v>0.36242623256963719</c:v>
                </c:pt>
                <c:pt idx="10">
                  <c:v>0.54555887596236508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59C-43E8-A128-2044F85AC549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'Analysis IV - Solver Only'!$C$50:$C$60</c:f>
              <c:numCache>
                <c:formatCode>0.00%</c:formatCode>
                <c:ptCount val="11"/>
                <c:pt idx="0">
                  <c:v>0.42998266961433468</c:v>
                </c:pt>
                <c:pt idx="1">
                  <c:v>0.22808583079720765</c:v>
                </c:pt>
                <c:pt idx="2">
                  <c:v>0.18298873596272272</c:v>
                </c:pt>
                <c:pt idx="3">
                  <c:v>0.15985629661643114</c:v>
                </c:pt>
                <c:pt idx="4">
                  <c:v>0.15123888422593465</c:v>
                </c:pt>
                <c:pt idx="5">
                  <c:v>0.14715476108601719</c:v>
                </c:pt>
                <c:pt idx="6">
                  <c:v>0.15274997360718054</c:v>
                </c:pt>
                <c:pt idx="7">
                  <c:v>0.16540360365461135</c:v>
                </c:pt>
                <c:pt idx="8">
                  <c:v>0.22160903812450647</c:v>
                </c:pt>
                <c:pt idx="9">
                  <c:v>0.31240566962036842</c:v>
                </c:pt>
                <c:pt idx="10">
                  <c:v>0.57642656360362343</c:v>
                </c:pt>
              </c:numCache>
            </c:numRef>
          </c:xVal>
          <c:yVal>
            <c:numRef>
              <c:f>'Analysis IV - Solver Only'!$D$50:$D$60</c:f>
              <c:numCache>
                <c:formatCode>0.00%</c:formatCode>
                <c:ptCount val="11"/>
                <c:pt idx="0">
                  <c:v>-0.26028276636672698</c:v>
                </c:pt>
                <c:pt idx="1">
                  <c:v>-9.4624886310278516E-2</c:v>
                </c:pt>
                <c:pt idx="2">
                  <c:v>-1.8854263053492366E-2</c:v>
                </c:pt>
                <c:pt idx="3">
                  <c:v>3.7834429431482929E-2</c:v>
                </c:pt>
                <c:pt idx="4">
                  <c:v>6.8817613437844358E-2</c:v>
                </c:pt>
                <c:pt idx="5">
                  <c:v>0.10167651039202449</c:v>
                </c:pt>
                <c:pt idx="6">
                  <c:v>0.13367152782645364</c:v>
                </c:pt>
                <c:pt idx="7">
                  <c:v>0.17166820758589676</c:v>
                </c:pt>
                <c:pt idx="8">
                  <c:v>0.26646341727010664</c:v>
                </c:pt>
                <c:pt idx="9">
                  <c:v>0.36242623256963719</c:v>
                </c:pt>
                <c:pt idx="10">
                  <c:v>0.54555887596236508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59C-43E8-A128-2044F85AC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714592"/>
        <c:axId val="812724160"/>
      </c:scatterChart>
      <c:valAx>
        <c:axId val="81271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MY"/>
                  <a:t>Annual Volatility</a:t>
                </a:r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724160"/>
        <c:crosses val="autoZero"/>
        <c:crossBetween val="midCat"/>
      </c:valAx>
      <c:valAx>
        <c:axId val="81272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MY"/>
                  <a:t>Annual Return</a:t>
                </a:r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714592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With Short Selling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'Analysis IV - Solver Only'!$G$50:$G$60</c:f>
              <c:numCache>
                <c:formatCode>0.00%</c:formatCode>
                <c:ptCount val="11"/>
                <c:pt idx="0">
                  <c:v>0.17529991344242224</c:v>
                </c:pt>
                <c:pt idx="1">
                  <c:v>0.13511174188221961</c:v>
                </c:pt>
                <c:pt idx="2">
                  <c:v>0.12547107972855129</c:v>
                </c:pt>
                <c:pt idx="3">
                  <c:v>0.12318730199664969</c:v>
                </c:pt>
                <c:pt idx="4">
                  <c:v>0.12384613190668461</c:v>
                </c:pt>
                <c:pt idx="5">
                  <c:v>0.12600912590539223</c:v>
                </c:pt>
                <c:pt idx="6">
                  <c:v>0.12948205859890441</c:v>
                </c:pt>
                <c:pt idx="7">
                  <c:v>0.13521667979979521</c:v>
                </c:pt>
                <c:pt idx="8">
                  <c:v>0.15578666059468094</c:v>
                </c:pt>
                <c:pt idx="9">
                  <c:v>0.18309828532195591</c:v>
                </c:pt>
                <c:pt idx="10">
                  <c:v>0.2451755275252904</c:v>
                </c:pt>
              </c:numCache>
            </c:numRef>
          </c:xVal>
          <c:yVal>
            <c:numRef>
              <c:f>'Analysis IV - Solver Only'!$H$50:$H$60</c:f>
              <c:numCache>
                <c:formatCode>0.00%</c:formatCode>
                <c:ptCount val="11"/>
                <c:pt idx="0">
                  <c:v>-0.26028276636672698</c:v>
                </c:pt>
                <c:pt idx="1">
                  <c:v>-9.4624886310278516E-2</c:v>
                </c:pt>
                <c:pt idx="2">
                  <c:v>-1.8854263053492366E-2</c:v>
                </c:pt>
                <c:pt idx="3">
                  <c:v>3.7834429431482929E-2</c:v>
                </c:pt>
                <c:pt idx="4">
                  <c:v>6.8817613437844358E-2</c:v>
                </c:pt>
                <c:pt idx="5">
                  <c:v>0.10167651039202449</c:v>
                </c:pt>
                <c:pt idx="6">
                  <c:v>0.13367152782645364</c:v>
                </c:pt>
                <c:pt idx="7">
                  <c:v>0.17166820758589676</c:v>
                </c:pt>
                <c:pt idx="8">
                  <c:v>0.26646341727010664</c:v>
                </c:pt>
                <c:pt idx="9">
                  <c:v>0.36242623256963719</c:v>
                </c:pt>
                <c:pt idx="10">
                  <c:v>0.54555887596236508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0A-4F5A-963D-C33204ABB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714592"/>
        <c:axId val="812724160"/>
      </c:scatterChart>
      <c:valAx>
        <c:axId val="81271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MY"/>
                  <a:t>Annual</a:t>
                </a:r>
                <a:r>
                  <a:rPr lang="en-MY" baseline="0"/>
                  <a:t> Volatility</a:t>
                </a:r>
                <a:endParaRPr lang="en-MY"/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724160"/>
        <c:crosses val="autoZero"/>
        <c:crossBetween val="midCat"/>
      </c:valAx>
      <c:valAx>
        <c:axId val="81272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MY"/>
                  <a:t>Annual</a:t>
                </a:r>
                <a:r>
                  <a:rPr lang="en-MY" baseline="0"/>
                  <a:t> Return</a:t>
                </a:r>
                <a:endParaRPr lang="en-MY"/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714592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Without Short Selling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'Run Macro Here'!$C$28:$C$38</c:f>
              <c:numCache>
                <c:formatCode>0.0000%</c:formatCode>
                <c:ptCount val="11"/>
                <c:pt idx="0">
                  <c:v>0.17529955423046631</c:v>
                </c:pt>
                <c:pt idx="1">
                  <c:v>0.13511174166699208</c:v>
                </c:pt>
                <c:pt idx="2">
                  <c:v>0.12547107170579488</c:v>
                </c:pt>
                <c:pt idx="3">
                  <c:v>0.12318729959203953</c:v>
                </c:pt>
                <c:pt idx="4">
                  <c:v>0.12384612687960883</c:v>
                </c:pt>
                <c:pt idx="5">
                  <c:v>0.12600913631814645</c:v>
                </c:pt>
                <c:pt idx="6">
                  <c:v>0.12948192666325342</c:v>
                </c:pt>
                <c:pt idx="7">
                  <c:v>0.13521667929930603</c:v>
                </c:pt>
                <c:pt idx="8">
                  <c:v>0.1559616934098175</c:v>
                </c:pt>
                <c:pt idx="9">
                  <c:v>0.18309828605176734</c:v>
                </c:pt>
                <c:pt idx="10">
                  <c:v>0.24517565535856387</c:v>
                </c:pt>
              </c:numCache>
            </c:numRef>
          </c:xVal>
          <c:yVal>
            <c:numRef>
              <c:f>'Run Macro Here'!$D$28:$D$38</c:f>
              <c:numCache>
                <c:formatCode>0.0000%</c:formatCode>
                <c:ptCount val="11"/>
                <c:pt idx="0">
                  <c:v>-0.26028276636672698</c:v>
                </c:pt>
                <c:pt idx="1">
                  <c:v>-9.4624886310278516E-2</c:v>
                </c:pt>
                <c:pt idx="2">
                  <c:v>-1.8854263053492366E-2</c:v>
                </c:pt>
                <c:pt idx="3">
                  <c:v>3.7834429431482929E-2</c:v>
                </c:pt>
                <c:pt idx="4">
                  <c:v>6.8817613437844358E-2</c:v>
                </c:pt>
                <c:pt idx="5">
                  <c:v>0.10167651039202449</c:v>
                </c:pt>
                <c:pt idx="6">
                  <c:v>0.13367152782645364</c:v>
                </c:pt>
                <c:pt idx="7">
                  <c:v>0.17166820758589676</c:v>
                </c:pt>
                <c:pt idx="8">
                  <c:v>0.26646341727010664</c:v>
                </c:pt>
                <c:pt idx="9">
                  <c:v>0.36242623256963719</c:v>
                </c:pt>
                <c:pt idx="10">
                  <c:v>0.54555887596236508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6B-404F-8DE7-6D833DAC4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714592"/>
        <c:axId val="812724160"/>
      </c:scatterChart>
      <c:valAx>
        <c:axId val="81271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724160"/>
        <c:crosses val="autoZero"/>
        <c:crossBetween val="midCat"/>
      </c:valAx>
      <c:valAx>
        <c:axId val="81272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714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With Short Selling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360858605545593"/>
          <c:y val="0.15648783159214419"/>
          <c:w val="0.72707999277784374"/>
          <c:h val="0.65617321232925108"/>
        </c:manualLayout>
      </c:layout>
      <c:scatterChart>
        <c:scatterStyle val="smoothMarker"/>
        <c:varyColors val="0"/>
        <c:ser>
          <c:idx val="1"/>
          <c:order val="0"/>
          <c:tx>
            <c:v>The Efficient Frontier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</c:marker>
          <c:dPt>
            <c:idx val="0"/>
            <c:marker>
              <c:spPr>
                <a:solidFill>
                  <a:schemeClr val="tx2">
                    <a:lumMod val="75000"/>
                  </a:schemeClr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6DA1-4205-96E7-5EF25A8D7B24}"/>
              </c:ext>
            </c:extLst>
          </c:dPt>
          <c:dPt>
            <c:idx val="1"/>
            <c:marker>
              <c:spPr>
                <a:solidFill>
                  <a:schemeClr val="tx2">
                    <a:lumMod val="75000"/>
                  </a:schemeClr>
                </a:solidFill>
                <a:ln>
                  <a:noFill/>
                </a:ln>
              </c:spPr>
            </c:marker>
            <c:bubble3D val="0"/>
            <c:spPr>
              <a:ln>
                <a:solidFill>
                  <a:schemeClr val="tx2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6-6DA1-4205-96E7-5EF25A8D7B24}"/>
              </c:ext>
            </c:extLst>
          </c:dPt>
          <c:dPt>
            <c:idx val="2"/>
            <c:marker>
              <c:spPr>
                <a:solidFill>
                  <a:schemeClr val="tx2">
                    <a:lumMod val="75000"/>
                  </a:schemeClr>
                </a:solidFill>
                <a:ln>
                  <a:noFill/>
                </a:ln>
              </c:spPr>
            </c:marker>
            <c:bubble3D val="0"/>
            <c:spPr>
              <a:ln>
                <a:solidFill>
                  <a:schemeClr val="tx2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7-6DA1-4205-96E7-5EF25A8D7B24}"/>
              </c:ext>
            </c:extLst>
          </c:dPt>
          <c:dPt>
            <c:idx val="3"/>
            <c:bubble3D val="0"/>
            <c:spPr>
              <a:ln>
                <a:solidFill>
                  <a:schemeClr val="tx2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8-6DA1-4205-96E7-5EF25A8D7B24}"/>
              </c:ext>
            </c:extLst>
          </c:dPt>
          <c:xVal>
            <c:numRef>
              <c:f>'Analysis IV - Solver Only'!$G$50:$G$60</c:f>
              <c:numCache>
                <c:formatCode>0.00%</c:formatCode>
                <c:ptCount val="11"/>
                <c:pt idx="0">
                  <c:v>0.17529991344242224</c:v>
                </c:pt>
                <c:pt idx="1">
                  <c:v>0.13511174188221961</c:v>
                </c:pt>
                <c:pt idx="2">
                  <c:v>0.12547107972855129</c:v>
                </c:pt>
                <c:pt idx="3">
                  <c:v>0.12318730199664969</c:v>
                </c:pt>
                <c:pt idx="4">
                  <c:v>0.12384613190668461</c:v>
                </c:pt>
                <c:pt idx="5">
                  <c:v>0.12600912590539223</c:v>
                </c:pt>
                <c:pt idx="6">
                  <c:v>0.12948205859890441</c:v>
                </c:pt>
                <c:pt idx="7">
                  <c:v>0.13521667979979521</c:v>
                </c:pt>
                <c:pt idx="8">
                  <c:v>0.15578666059468094</c:v>
                </c:pt>
                <c:pt idx="9">
                  <c:v>0.18309828532195591</c:v>
                </c:pt>
                <c:pt idx="10">
                  <c:v>0.2451755275252904</c:v>
                </c:pt>
              </c:numCache>
            </c:numRef>
          </c:xVal>
          <c:yVal>
            <c:numRef>
              <c:f>'Analysis IV - Solver Only'!$H$50:$H$60</c:f>
              <c:numCache>
                <c:formatCode>0.00%</c:formatCode>
                <c:ptCount val="11"/>
                <c:pt idx="0">
                  <c:v>-0.26028276636672698</c:v>
                </c:pt>
                <c:pt idx="1">
                  <c:v>-9.4624886310278516E-2</c:v>
                </c:pt>
                <c:pt idx="2">
                  <c:v>-1.8854263053492366E-2</c:v>
                </c:pt>
                <c:pt idx="3">
                  <c:v>3.7834429431482929E-2</c:v>
                </c:pt>
                <c:pt idx="4">
                  <c:v>6.8817613437844358E-2</c:v>
                </c:pt>
                <c:pt idx="5">
                  <c:v>0.10167651039202449</c:v>
                </c:pt>
                <c:pt idx="6">
                  <c:v>0.13367152782645364</c:v>
                </c:pt>
                <c:pt idx="7">
                  <c:v>0.17166820758589676</c:v>
                </c:pt>
                <c:pt idx="8">
                  <c:v>0.26646341727010664</c:v>
                </c:pt>
                <c:pt idx="9">
                  <c:v>0.36242623256963719</c:v>
                </c:pt>
                <c:pt idx="10">
                  <c:v>0.54555887596236508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A1-4205-96E7-5EF25A8D7B24}"/>
            </c:ext>
          </c:extLst>
        </c:ser>
        <c:ser>
          <c:idx val="2"/>
          <c:order val="1"/>
          <c:tx>
            <c:strRef>
              <c:f>'Part2(e,f)'!$B$3</c:f>
              <c:strCache>
                <c:ptCount val="1"/>
                <c:pt idx="0">
                  <c:v>VWR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7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'Part2(e,f)'!$B$5</c:f>
              <c:numCache>
                <c:formatCode>0.0000%</c:formatCode>
                <c:ptCount val="1"/>
                <c:pt idx="0">
                  <c:v>0</c:v>
                </c:pt>
              </c:numCache>
            </c:numRef>
          </c:xVal>
          <c:yVal>
            <c:numRef>
              <c:f>'Part2(e,f)'!$B$4</c:f>
              <c:numCache>
                <c:formatCode>0.0000%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DA1-4205-96E7-5EF25A8D7B24}"/>
            </c:ext>
          </c:extLst>
        </c:ser>
        <c:ser>
          <c:idx val="0"/>
          <c:order val="2"/>
          <c:tx>
            <c:strRef>
              <c:f>'Part2(e,f)'!$C$3</c:f>
              <c:strCache>
                <c:ptCount val="1"/>
                <c:pt idx="0">
                  <c:v>EWR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7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</c:spPr>
          </c:marker>
          <c:xVal>
            <c:numRef>
              <c:f>'Part2(e,f)'!$C$5</c:f>
              <c:numCache>
                <c:formatCode>0.0000%</c:formatCode>
                <c:ptCount val="1"/>
                <c:pt idx="0">
                  <c:v>0</c:v>
                </c:pt>
              </c:numCache>
            </c:numRef>
          </c:xVal>
          <c:yVal>
            <c:numRef>
              <c:f>'Part2(e,f)'!$C$4</c:f>
              <c:numCache>
                <c:formatCode>0.0000%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DA1-4205-96E7-5EF25A8D7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714592"/>
        <c:axId val="812724160"/>
      </c:scatterChart>
      <c:valAx>
        <c:axId val="81271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MY"/>
                  <a:t>Annual</a:t>
                </a:r>
                <a:r>
                  <a:rPr lang="en-MY" baseline="0"/>
                  <a:t> Volatility</a:t>
                </a:r>
                <a:endParaRPr lang="en-MY"/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724160"/>
        <c:crosses val="autoZero"/>
        <c:crossBetween val="midCat"/>
      </c:valAx>
      <c:valAx>
        <c:axId val="81272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MY"/>
                  <a:t>Annual</a:t>
                </a:r>
                <a:r>
                  <a:rPr lang="en-MY" baseline="0"/>
                  <a:t> Return</a:t>
                </a:r>
                <a:endParaRPr lang="en-MY"/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7145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Without Short Selling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The Efficient Frontier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</c:marker>
          <c:dPt>
            <c:idx val="0"/>
            <c:marker>
              <c:spPr>
                <a:solidFill>
                  <a:schemeClr val="tx2">
                    <a:lumMod val="75000"/>
                  </a:schemeClr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E25-4DBB-9893-7294B86244AA}"/>
              </c:ext>
            </c:extLst>
          </c:dPt>
          <c:dPt>
            <c:idx val="1"/>
            <c:marker>
              <c:spPr>
                <a:solidFill>
                  <a:schemeClr val="tx2">
                    <a:lumMod val="75000"/>
                  </a:schemeClr>
                </a:solidFill>
                <a:ln>
                  <a:noFill/>
                </a:ln>
              </c:spPr>
            </c:marker>
            <c:bubble3D val="0"/>
            <c:spPr>
              <a:ln w="19050" cap="rnd">
                <a:solidFill>
                  <a:schemeClr val="tx2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E25-4DBB-9893-7294B86244AA}"/>
              </c:ext>
            </c:extLst>
          </c:dPt>
          <c:dPt>
            <c:idx val="2"/>
            <c:marker>
              <c:spPr>
                <a:solidFill>
                  <a:schemeClr val="tx2">
                    <a:lumMod val="75000"/>
                  </a:schemeClr>
                </a:solidFill>
                <a:ln>
                  <a:noFill/>
                </a:ln>
              </c:spPr>
            </c:marker>
            <c:bubble3D val="0"/>
            <c:spPr>
              <a:ln w="19050" cap="rnd">
                <a:solidFill>
                  <a:schemeClr val="tx2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E25-4DBB-9893-7294B86244AA}"/>
              </c:ext>
            </c:extLst>
          </c:dPt>
          <c:dPt>
            <c:idx val="3"/>
            <c:marker>
              <c:spPr>
                <a:solidFill>
                  <a:schemeClr val="tx2">
                    <a:lumMod val="75000"/>
                  </a:schemeClr>
                </a:solidFill>
                <a:ln>
                  <a:noFill/>
                </a:ln>
              </c:spPr>
            </c:marker>
            <c:bubble3D val="0"/>
            <c:spPr>
              <a:ln w="19050" cap="rnd">
                <a:solidFill>
                  <a:schemeClr val="tx2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E25-4DBB-9893-7294B86244AA}"/>
              </c:ext>
            </c:extLst>
          </c:dPt>
          <c:dPt>
            <c:idx val="4"/>
            <c:marker>
              <c:spPr>
                <a:solidFill>
                  <a:schemeClr val="tx2">
                    <a:lumMod val="75000"/>
                  </a:schemeClr>
                </a:solidFill>
                <a:ln>
                  <a:noFill/>
                </a:ln>
              </c:spPr>
            </c:marker>
            <c:bubble3D val="0"/>
            <c:spPr>
              <a:ln w="19050" cap="rnd">
                <a:solidFill>
                  <a:schemeClr val="tx2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3E25-4DBB-9893-7294B86244AA}"/>
              </c:ext>
            </c:extLst>
          </c:dPt>
          <c:dPt>
            <c:idx val="5"/>
            <c:bubble3D val="0"/>
            <c:spPr>
              <a:ln w="19050" cap="rnd">
                <a:solidFill>
                  <a:schemeClr val="tx2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3E25-4DBB-9893-7294B86244AA}"/>
              </c:ext>
            </c:extLst>
          </c:dPt>
          <c:xVal>
            <c:numRef>
              <c:f>'Analysis IV - Solver Only'!$C$50:$C$60</c:f>
              <c:numCache>
                <c:formatCode>0.00%</c:formatCode>
                <c:ptCount val="11"/>
                <c:pt idx="0">
                  <c:v>0.42998266961433468</c:v>
                </c:pt>
                <c:pt idx="1">
                  <c:v>0.22808583079720765</c:v>
                </c:pt>
                <c:pt idx="2">
                  <c:v>0.18298873596272272</c:v>
                </c:pt>
                <c:pt idx="3">
                  <c:v>0.15985629661643114</c:v>
                </c:pt>
                <c:pt idx="4">
                  <c:v>0.15123888422593465</c:v>
                </c:pt>
                <c:pt idx="5">
                  <c:v>0.14715476108601719</c:v>
                </c:pt>
                <c:pt idx="6">
                  <c:v>0.15274997360718054</c:v>
                </c:pt>
                <c:pt idx="7">
                  <c:v>0.16540360365461135</c:v>
                </c:pt>
                <c:pt idx="8">
                  <c:v>0.22160903812450647</c:v>
                </c:pt>
                <c:pt idx="9">
                  <c:v>0.31240566962036842</c:v>
                </c:pt>
                <c:pt idx="10">
                  <c:v>0.57642656360362343</c:v>
                </c:pt>
              </c:numCache>
            </c:numRef>
          </c:xVal>
          <c:yVal>
            <c:numRef>
              <c:f>'Analysis IV - Solver Only'!$D$50:$D$60</c:f>
              <c:numCache>
                <c:formatCode>0.00%</c:formatCode>
                <c:ptCount val="11"/>
                <c:pt idx="0">
                  <c:v>-0.26028276636672698</c:v>
                </c:pt>
                <c:pt idx="1">
                  <c:v>-9.4624886310278516E-2</c:v>
                </c:pt>
                <c:pt idx="2">
                  <c:v>-1.8854263053492366E-2</c:v>
                </c:pt>
                <c:pt idx="3">
                  <c:v>3.7834429431482929E-2</c:v>
                </c:pt>
                <c:pt idx="4">
                  <c:v>6.8817613437844358E-2</c:v>
                </c:pt>
                <c:pt idx="5">
                  <c:v>0.10167651039202449</c:v>
                </c:pt>
                <c:pt idx="6">
                  <c:v>0.13367152782645364</c:v>
                </c:pt>
                <c:pt idx="7">
                  <c:v>0.17166820758589676</c:v>
                </c:pt>
                <c:pt idx="8">
                  <c:v>0.26646341727010664</c:v>
                </c:pt>
                <c:pt idx="9">
                  <c:v>0.36242623256963719</c:v>
                </c:pt>
                <c:pt idx="10">
                  <c:v>0.54555887596236508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25-4DBB-9893-7294B86244AA}"/>
            </c:ext>
          </c:extLst>
        </c:ser>
        <c:ser>
          <c:idx val="2"/>
          <c:order val="1"/>
          <c:tx>
            <c:strRef>
              <c:f>'Part2(e,f)'!$B$3</c:f>
              <c:strCache>
                <c:ptCount val="1"/>
                <c:pt idx="0">
                  <c:v>VWR</c:v>
                </c:pt>
              </c:strCache>
            </c:strRef>
          </c:tx>
          <c:spPr>
            <a:ln>
              <a:noFill/>
            </a:ln>
            <a:effectLst>
              <a:softEdge rad="0"/>
            </a:effectLst>
          </c:spPr>
          <c:marker>
            <c:symbol val="diamond"/>
            <c:size val="7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>
                <a:softEdge rad="0"/>
              </a:effectLst>
            </c:spPr>
          </c:marker>
          <c:xVal>
            <c:numRef>
              <c:f>'Part2(e,f)'!$B$5</c:f>
              <c:numCache>
                <c:formatCode>0.0000%</c:formatCode>
                <c:ptCount val="1"/>
                <c:pt idx="0">
                  <c:v>0</c:v>
                </c:pt>
              </c:numCache>
            </c:numRef>
          </c:xVal>
          <c:yVal>
            <c:numRef>
              <c:f>'Part2(e,f)'!$B$4</c:f>
              <c:numCache>
                <c:formatCode>0.0000%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E25-4DBB-9893-7294B86244AA}"/>
            </c:ext>
          </c:extLst>
        </c:ser>
        <c:ser>
          <c:idx val="3"/>
          <c:order val="2"/>
          <c:tx>
            <c:strRef>
              <c:f>'Part2(e,f)'!$C$3</c:f>
              <c:strCache>
                <c:ptCount val="1"/>
                <c:pt idx="0">
                  <c:v>EWR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8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</c:spPr>
          </c:marker>
          <c:xVal>
            <c:numRef>
              <c:f>'Part2(e,f)'!$C$5</c:f>
              <c:numCache>
                <c:formatCode>0.0000%</c:formatCode>
                <c:ptCount val="1"/>
                <c:pt idx="0">
                  <c:v>0</c:v>
                </c:pt>
              </c:numCache>
            </c:numRef>
          </c:xVal>
          <c:yVal>
            <c:numRef>
              <c:f>'Part2(e,f)'!$C$4</c:f>
              <c:numCache>
                <c:formatCode>0.0000%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E25-4DBB-9893-7294B8624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714592"/>
        <c:axId val="812724160"/>
      </c:scatterChart>
      <c:valAx>
        <c:axId val="81271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MY"/>
                  <a:t>Annual Volatility</a:t>
                </a:r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724160"/>
        <c:crosses val="autoZero"/>
        <c:crossBetween val="midCat"/>
      </c:valAx>
      <c:valAx>
        <c:axId val="81272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MY"/>
                  <a:t>Annual Return</a:t>
                </a:r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7145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Capital Market</a:t>
            </a:r>
            <a:r>
              <a:rPr lang="en-US" baseline="0"/>
              <a:t> Line and Efficient Frontier w</a:t>
            </a:r>
            <a:r>
              <a:rPr lang="en-US"/>
              <a:t>ithout Short Selling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547476645115839"/>
          <c:y val="0.15648789260630558"/>
          <c:w val="0.72707999277784374"/>
          <c:h val="0.65617321232925108"/>
        </c:manualLayout>
      </c:layout>
      <c:scatterChart>
        <c:scatterStyle val="smoothMarker"/>
        <c:varyColors val="0"/>
        <c:ser>
          <c:idx val="1"/>
          <c:order val="0"/>
          <c:tx>
            <c:v>The Efficient Frontier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</c:marker>
          <c:dPt>
            <c:idx val="0"/>
            <c:marker>
              <c:spPr>
                <a:solidFill>
                  <a:schemeClr val="tx2">
                    <a:lumMod val="75000"/>
                  </a:schemeClr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875-4EBE-A507-F3F73120B86E}"/>
              </c:ext>
            </c:extLst>
          </c:dPt>
          <c:dPt>
            <c:idx val="1"/>
            <c:marker>
              <c:spPr>
                <a:solidFill>
                  <a:schemeClr val="tx2">
                    <a:lumMod val="75000"/>
                  </a:schemeClr>
                </a:solidFill>
                <a:ln>
                  <a:noFill/>
                </a:ln>
              </c:spPr>
            </c:marker>
            <c:bubble3D val="0"/>
            <c:spPr>
              <a:ln>
                <a:solidFill>
                  <a:schemeClr val="tx2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2-0875-4EBE-A507-F3F73120B86E}"/>
              </c:ext>
            </c:extLst>
          </c:dPt>
          <c:dPt>
            <c:idx val="2"/>
            <c:marker>
              <c:spPr>
                <a:solidFill>
                  <a:schemeClr val="tx2">
                    <a:lumMod val="75000"/>
                  </a:schemeClr>
                </a:solidFill>
                <a:ln>
                  <a:noFill/>
                </a:ln>
              </c:spPr>
            </c:marker>
            <c:bubble3D val="0"/>
            <c:spPr>
              <a:ln>
                <a:solidFill>
                  <a:schemeClr val="tx2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4-0875-4EBE-A507-F3F73120B86E}"/>
              </c:ext>
            </c:extLst>
          </c:dPt>
          <c:dPt>
            <c:idx val="3"/>
            <c:marker>
              <c:spPr>
                <a:solidFill>
                  <a:schemeClr val="tx2">
                    <a:lumMod val="75000"/>
                  </a:schemeClr>
                </a:solidFill>
                <a:ln>
                  <a:noFill/>
                </a:ln>
              </c:spPr>
            </c:marker>
            <c:bubble3D val="0"/>
            <c:spPr>
              <a:ln>
                <a:solidFill>
                  <a:schemeClr val="tx2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6-0875-4EBE-A507-F3F73120B86E}"/>
              </c:ext>
            </c:extLst>
          </c:dPt>
          <c:dPt>
            <c:idx val="4"/>
            <c:marker>
              <c:spPr>
                <a:solidFill>
                  <a:schemeClr val="tx2">
                    <a:lumMod val="75000"/>
                  </a:schemeClr>
                </a:solidFill>
                <a:ln>
                  <a:noFill/>
                </a:ln>
              </c:spPr>
            </c:marker>
            <c:bubble3D val="0"/>
            <c:spPr>
              <a:ln>
                <a:solidFill>
                  <a:schemeClr val="tx2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D-0875-4EBE-A507-F3F73120B86E}"/>
              </c:ext>
            </c:extLst>
          </c:dPt>
          <c:dPt>
            <c:idx val="5"/>
            <c:bubble3D val="0"/>
            <c:spPr>
              <a:ln>
                <a:solidFill>
                  <a:schemeClr val="tx2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E-0875-4EBE-A507-F3F73120B86E}"/>
              </c:ext>
            </c:extLst>
          </c:dPt>
          <c:xVal>
            <c:numRef>
              <c:f>Part3!$B$6:$B$16</c:f>
              <c:numCache>
                <c:formatCode>0.00%</c:formatCode>
                <c:ptCount val="11"/>
                <c:pt idx="0">
                  <c:v>0.42998266961433468</c:v>
                </c:pt>
                <c:pt idx="1">
                  <c:v>0.22808583079720765</c:v>
                </c:pt>
                <c:pt idx="2">
                  <c:v>0.18298873596272272</c:v>
                </c:pt>
                <c:pt idx="3">
                  <c:v>0.15985629661643114</c:v>
                </c:pt>
                <c:pt idx="4">
                  <c:v>0.15123888422593465</c:v>
                </c:pt>
                <c:pt idx="5">
                  <c:v>0.14715476108601719</c:v>
                </c:pt>
                <c:pt idx="6">
                  <c:v>0.15274997360718054</c:v>
                </c:pt>
                <c:pt idx="7">
                  <c:v>0.16540360365461135</c:v>
                </c:pt>
                <c:pt idx="8">
                  <c:v>0.22160903812450647</c:v>
                </c:pt>
                <c:pt idx="9">
                  <c:v>0.31240566962036842</c:v>
                </c:pt>
                <c:pt idx="10">
                  <c:v>0.57642656360362343</c:v>
                </c:pt>
              </c:numCache>
            </c:numRef>
          </c:xVal>
          <c:yVal>
            <c:numRef>
              <c:f>Part3!$C$6:$C$16</c:f>
              <c:numCache>
                <c:formatCode>0.00%</c:formatCode>
                <c:ptCount val="11"/>
                <c:pt idx="0">
                  <c:v>-0.26028276636672698</c:v>
                </c:pt>
                <c:pt idx="1">
                  <c:v>-9.4624886310278516E-2</c:v>
                </c:pt>
                <c:pt idx="2">
                  <c:v>-1.8854263053492366E-2</c:v>
                </c:pt>
                <c:pt idx="3">
                  <c:v>3.7834429431482929E-2</c:v>
                </c:pt>
                <c:pt idx="4">
                  <c:v>6.8817613437844358E-2</c:v>
                </c:pt>
                <c:pt idx="5">
                  <c:v>0.10167651039202449</c:v>
                </c:pt>
                <c:pt idx="6">
                  <c:v>0.13367152782645364</c:v>
                </c:pt>
                <c:pt idx="7">
                  <c:v>0.17166820758589676</c:v>
                </c:pt>
                <c:pt idx="8">
                  <c:v>0.26646341727010664</c:v>
                </c:pt>
                <c:pt idx="9">
                  <c:v>0.36242623256963719</c:v>
                </c:pt>
                <c:pt idx="10">
                  <c:v>0.54555887596236508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875-4EBE-A507-F3F73120B86E}"/>
            </c:ext>
          </c:extLst>
        </c:ser>
        <c:ser>
          <c:idx val="0"/>
          <c:order val="1"/>
          <c:tx>
            <c:strRef>
              <c:f>Part3!$G$4</c:f>
              <c:strCache>
                <c:ptCount val="1"/>
                <c:pt idx="0">
                  <c:v>Capital Market Line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trendline>
            <c:spPr>
              <a:ln w="25400">
                <a:solidFill>
                  <a:schemeClr val="accent3">
                    <a:lumMod val="75000"/>
                  </a:schemeClr>
                </a:solidFill>
              </a:ln>
            </c:spPr>
            <c:trendlineType val="linear"/>
            <c:forward val="0.30000000000000004"/>
            <c:dispRSqr val="0"/>
            <c:dispEq val="0"/>
          </c:trendline>
          <c:xVal>
            <c:numRef>
              <c:f>Part3!$G$6:$G$8</c:f>
              <c:numCache>
                <c:formatCode>General</c:formatCode>
                <c:ptCount val="3"/>
                <c:pt idx="0">
                  <c:v>0</c:v>
                </c:pt>
                <c:pt idx="1">
                  <c:v>0.28116510265833161</c:v>
                </c:pt>
              </c:numCache>
            </c:numRef>
          </c:xVal>
          <c:yVal>
            <c:numRef>
              <c:f>Part3!$H$6:$H$8</c:f>
              <c:numCache>
                <c:formatCode>General</c:formatCode>
                <c:ptCount val="3"/>
                <c:pt idx="0">
                  <c:v>0.05</c:v>
                </c:pt>
                <c:pt idx="1">
                  <c:v>0.33118360931267349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875-4EBE-A507-F3F73120B86E}"/>
            </c:ext>
          </c:extLst>
        </c:ser>
        <c:ser>
          <c:idx val="2"/>
          <c:order val="2"/>
          <c:tx>
            <c:strRef>
              <c:f>'Part2(e,f)'!$A$27:$B$27</c:f>
              <c:strCache>
                <c:ptCount val="1"/>
                <c:pt idx="0">
                  <c:v>Equally Weighted Portfolio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'Part2(e,f)'!$B$30</c:f>
              <c:numCache>
                <c:formatCode>0.00%</c:formatCode>
                <c:ptCount val="1"/>
                <c:pt idx="0">
                  <c:v>0.31622330355759665</c:v>
                </c:pt>
              </c:numCache>
            </c:numRef>
          </c:xVal>
          <c:yVal>
            <c:numRef>
              <c:f>'Part2(e,f)'!$B$29</c:f>
              <c:numCache>
                <c:formatCode>0.00%</c:formatCode>
                <c:ptCount val="1"/>
                <c:pt idx="0">
                  <c:v>0.11589328533563882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CA9-4C89-9D3E-011D14AC9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714592"/>
        <c:axId val="812724160"/>
      </c:scatterChart>
      <c:valAx>
        <c:axId val="81271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MY"/>
                  <a:t>Annual</a:t>
                </a:r>
                <a:r>
                  <a:rPr lang="en-MY" baseline="0"/>
                  <a:t> Volatility</a:t>
                </a:r>
                <a:endParaRPr lang="en-MY"/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724160"/>
        <c:crosses val="autoZero"/>
        <c:crossBetween val="midCat"/>
      </c:valAx>
      <c:valAx>
        <c:axId val="81272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MY"/>
                  <a:t>Annual</a:t>
                </a:r>
                <a:r>
                  <a:rPr lang="en-MY" baseline="0"/>
                  <a:t> Return</a:t>
                </a:r>
                <a:endParaRPr lang="en-MY"/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714592"/>
        <c:crosses val="autoZero"/>
        <c:crossBetween val="midCat"/>
      </c:valAx>
    </c:plotArea>
    <c:legend>
      <c:legendPos val="b"/>
      <c:legendEntry>
        <c:idx val="3"/>
        <c:delete val="1"/>
      </c:legendEntry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Capital Market Line and Efficient Frontier with Short Selling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360858605545593"/>
          <c:y val="0.15648783159214419"/>
          <c:w val="0.75371970925656495"/>
          <c:h val="0.65617321232925108"/>
        </c:manualLayout>
      </c:layout>
      <c:scatterChart>
        <c:scatterStyle val="smoothMarker"/>
        <c:varyColors val="0"/>
        <c:ser>
          <c:idx val="1"/>
          <c:order val="0"/>
          <c:tx>
            <c:v>The Efficient Frontier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</c:marker>
          <c:dPt>
            <c:idx val="0"/>
            <c:marker>
              <c:spPr>
                <a:solidFill>
                  <a:schemeClr val="tx2">
                    <a:lumMod val="75000"/>
                  </a:schemeClr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D56F-4F17-8866-ECC967C7EB0C}"/>
              </c:ext>
            </c:extLst>
          </c:dPt>
          <c:dPt>
            <c:idx val="1"/>
            <c:marker>
              <c:spPr>
                <a:solidFill>
                  <a:schemeClr val="tx2">
                    <a:lumMod val="75000"/>
                  </a:schemeClr>
                </a:solidFill>
                <a:ln>
                  <a:noFill/>
                </a:ln>
              </c:spPr>
            </c:marker>
            <c:bubble3D val="0"/>
            <c:spPr>
              <a:ln>
                <a:solidFill>
                  <a:schemeClr val="tx2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2-D56F-4F17-8866-ECC967C7EB0C}"/>
              </c:ext>
            </c:extLst>
          </c:dPt>
          <c:dPt>
            <c:idx val="2"/>
            <c:marker>
              <c:spPr>
                <a:solidFill>
                  <a:schemeClr val="tx2">
                    <a:lumMod val="75000"/>
                  </a:schemeClr>
                </a:solidFill>
                <a:ln>
                  <a:noFill/>
                </a:ln>
              </c:spPr>
            </c:marker>
            <c:bubble3D val="0"/>
            <c:spPr>
              <a:ln>
                <a:solidFill>
                  <a:schemeClr val="tx2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4-D56F-4F17-8866-ECC967C7EB0C}"/>
              </c:ext>
            </c:extLst>
          </c:dPt>
          <c:dPt>
            <c:idx val="3"/>
            <c:bubble3D val="0"/>
            <c:spPr>
              <a:ln>
                <a:solidFill>
                  <a:schemeClr val="tx2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6-D56F-4F17-8866-ECC967C7EB0C}"/>
              </c:ext>
            </c:extLst>
          </c:dPt>
          <c:xVal>
            <c:numRef>
              <c:f>'Analysis IV - Solver Only'!$G$50:$G$60</c:f>
              <c:numCache>
                <c:formatCode>0.00%</c:formatCode>
                <c:ptCount val="11"/>
                <c:pt idx="0">
                  <c:v>0.17529991344242224</c:v>
                </c:pt>
                <c:pt idx="1">
                  <c:v>0.13511174188221961</c:v>
                </c:pt>
                <c:pt idx="2">
                  <c:v>0.12547107972855129</c:v>
                </c:pt>
                <c:pt idx="3">
                  <c:v>0.12318730199664969</c:v>
                </c:pt>
                <c:pt idx="4">
                  <c:v>0.12384613190668461</c:v>
                </c:pt>
                <c:pt idx="5">
                  <c:v>0.12600912590539223</c:v>
                </c:pt>
                <c:pt idx="6">
                  <c:v>0.12948205859890441</c:v>
                </c:pt>
                <c:pt idx="7">
                  <c:v>0.13521667979979521</c:v>
                </c:pt>
                <c:pt idx="8">
                  <c:v>0.15578666059468094</c:v>
                </c:pt>
                <c:pt idx="9">
                  <c:v>0.18309828532195591</c:v>
                </c:pt>
                <c:pt idx="10">
                  <c:v>0.2451755275252904</c:v>
                </c:pt>
              </c:numCache>
            </c:numRef>
          </c:xVal>
          <c:yVal>
            <c:numRef>
              <c:f>'Analysis IV - Solver Only'!$H$50:$H$60</c:f>
              <c:numCache>
                <c:formatCode>0.00%</c:formatCode>
                <c:ptCount val="11"/>
                <c:pt idx="0">
                  <c:v>-0.26028276636672698</c:v>
                </c:pt>
                <c:pt idx="1">
                  <c:v>-9.4624886310278516E-2</c:v>
                </c:pt>
                <c:pt idx="2">
                  <c:v>-1.8854263053492366E-2</c:v>
                </c:pt>
                <c:pt idx="3">
                  <c:v>3.7834429431482929E-2</c:v>
                </c:pt>
                <c:pt idx="4">
                  <c:v>6.8817613437844358E-2</c:v>
                </c:pt>
                <c:pt idx="5">
                  <c:v>0.10167651039202449</c:v>
                </c:pt>
                <c:pt idx="6">
                  <c:v>0.13367152782645364</c:v>
                </c:pt>
                <c:pt idx="7">
                  <c:v>0.17166820758589676</c:v>
                </c:pt>
                <c:pt idx="8">
                  <c:v>0.26646341727010664</c:v>
                </c:pt>
                <c:pt idx="9">
                  <c:v>0.36242623256963719</c:v>
                </c:pt>
                <c:pt idx="10">
                  <c:v>0.54555887596236508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56F-4F17-8866-ECC967C7EB0C}"/>
            </c:ext>
          </c:extLst>
        </c:ser>
        <c:ser>
          <c:idx val="3"/>
          <c:order val="1"/>
          <c:tx>
            <c:strRef>
              <c:f>Part3!$F$25</c:f>
              <c:strCache>
                <c:ptCount val="1"/>
                <c:pt idx="0">
                  <c:v>Capital Market Line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Part3!$G$27:$G$29</c:f>
              <c:numCache>
                <c:formatCode>General</c:formatCode>
                <c:ptCount val="3"/>
                <c:pt idx="0">
                  <c:v>0</c:v>
                </c:pt>
                <c:pt idx="1">
                  <c:v>0.2451755275252904</c:v>
                </c:pt>
              </c:numCache>
            </c:numRef>
          </c:xVal>
          <c:yVal>
            <c:numRef>
              <c:f>Part3!$H$27:$H$29</c:f>
              <c:numCache>
                <c:formatCode>General</c:formatCode>
                <c:ptCount val="3"/>
                <c:pt idx="0">
                  <c:v>0.05</c:v>
                </c:pt>
                <c:pt idx="1">
                  <c:v>0.54555887596236508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56F-4F17-8866-ECC967C7EB0C}"/>
            </c:ext>
          </c:extLst>
        </c:ser>
        <c:ser>
          <c:idx val="0"/>
          <c:order val="2"/>
          <c:tx>
            <c:strRef>
              <c:f>'Part2(e,f)'!$A$27:$B$27</c:f>
              <c:strCache>
                <c:ptCount val="1"/>
                <c:pt idx="0">
                  <c:v>Equally Weighted Portfolio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9"/>
            <c:spPr>
              <a:ln>
                <a:noFill/>
              </a:ln>
            </c:spPr>
          </c:marker>
          <c:xVal>
            <c:numRef>
              <c:f>'Part2(e,f)'!$B$30</c:f>
              <c:numCache>
                <c:formatCode>0.00%</c:formatCode>
                <c:ptCount val="1"/>
                <c:pt idx="0">
                  <c:v>0.31622330355759665</c:v>
                </c:pt>
              </c:numCache>
            </c:numRef>
          </c:xVal>
          <c:yVal>
            <c:numRef>
              <c:f>'Part2(e,f)'!$B$29</c:f>
              <c:numCache>
                <c:formatCode>0.00%</c:formatCode>
                <c:ptCount val="1"/>
                <c:pt idx="0">
                  <c:v>0.11589328533563882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5CE-4923-9513-D0C250859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714592"/>
        <c:axId val="812724160"/>
        <c:extLst/>
      </c:scatterChart>
      <c:valAx>
        <c:axId val="81271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MY"/>
                  <a:t>Annual</a:t>
                </a:r>
                <a:r>
                  <a:rPr lang="en-MY" baseline="0"/>
                  <a:t> Volatility</a:t>
                </a:r>
                <a:endParaRPr lang="en-MY"/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724160"/>
        <c:crosses val="autoZero"/>
        <c:crossBetween val="midCat"/>
      </c:valAx>
      <c:valAx>
        <c:axId val="81272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MY"/>
                  <a:t>Annual</a:t>
                </a:r>
                <a:r>
                  <a:rPr lang="en-MY" baseline="0"/>
                  <a:t> Return</a:t>
                </a:r>
                <a:endParaRPr lang="en-MY"/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7145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MY"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WEIGHT RATIO OF EACH STOCK IN the PORTFOLIOs</a:t>
            </a:r>
          </a:p>
        </c:rich>
      </c:tx>
      <c:layout>
        <c:manualLayout>
          <c:xMode val="edge"/>
          <c:yMode val="edge"/>
          <c:x val="0.1342718222486477"/>
          <c:y val="4.49208707767709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cap="all" spc="5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76248249023351"/>
          <c:y val="0.15831857675761349"/>
          <c:w val="0.86949096533056414"/>
          <c:h val="0.58640097005929104"/>
        </c:manualLayout>
      </c:layout>
      <c:barChart>
        <c:barDir val="col"/>
        <c:grouping val="clustered"/>
        <c:varyColors val="0"/>
        <c:ser>
          <c:idx val="0"/>
          <c:order val="0"/>
          <c:tx>
            <c:v>Low-Risk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'Part2(e,f)'!$D$32:$D$51</c:f>
              <c:strCache>
                <c:ptCount val="20"/>
                <c:pt idx="0">
                  <c:v>WTTR</c:v>
                </c:pt>
                <c:pt idx="1">
                  <c:v>ALTM</c:v>
                </c:pt>
                <c:pt idx="2">
                  <c:v>APPN</c:v>
                </c:pt>
                <c:pt idx="3">
                  <c:v>FPH</c:v>
                </c:pt>
                <c:pt idx="4">
                  <c:v>SOI</c:v>
                </c:pt>
                <c:pt idx="5">
                  <c:v>ATUS</c:v>
                </c:pt>
                <c:pt idx="6">
                  <c:v>APRN</c:v>
                </c:pt>
                <c:pt idx="7">
                  <c:v>MOG</c:v>
                </c:pt>
                <c:pt idx="8">
                  <c:v>BXMT</c:v>
                </c:pt>
                <c:pt idx="9">
                  <c:v>HOV</c:v>
                </c:pt>
                <c:pt idx="10">
                  <c:v>WSO</c:v>
                </c:pt>
                <c:pt idx="11">
                  <c:v>VOXX</c:v>
                </c:pt>
                <c:pt idx="12">
                  <c:v>BHGE / BKR</c:v>
                </c:pt>
                <c:pt idx="13">
                  <c:v>VIACA</c:v>
                </c:pt>
                <c:pt idx="14">
                  <c:v>CRD</c:v>
                </c:pt>
                <c:pt idx="15">
                  <c:v>TCX</c:v>
                </c:pt>
                <c:pt idx="16">
                  <c:v>ARTNA</c:v>
                </c:pt>
                <c:pt idx="17">
                  <c:v>AMRC</c:v>
                </c:pt>
                <c:pt idx="18">
                  <c:v>MGY</c:v>
                </c:pt>
                <c:pt idx="19">
                  <c:v>QUAD</c:v>
                </c:pt>
              </c:strCache>
            </c:strRef>
          </c:cat>
          <c:val>
            <c:numRef>
              <c:f>'Part2(e,f)'!$E$32:$E$51</c:f>
              <c:numCache>
                <c:formatCode>0.0000</c:formatCode>
                <c:ptCount val="20"/>
                <c:pt idx="0">
                  <c:v>-2.4085729781583656E-2</c:v>
                </c:pt>
                <c:pt idx="1">
                  <c:v>-2.3030340993480558E-2</c:v>
                </c:pt>
                <c:pt idx="2">
                  <c:v>1.1766221241766042E-2</c:v>
                </c:pt>
                <c:pt idx="3">
                  <c:v>-9.0591873328778657E-3</c:v>
                </c:pt>
                <c:pt idx="4">
                  <c:v>3.6847385631099933E-2</c:v>
                </c:pt>
                <c:pt idx="5">
                  <c:v>-0.10090062628828239</c:v>
                </c:pt>
                <c:pt idx="6">
                  <c:v>3.3962187144303324E-2</c:v>
                </c:pt>
                <c:pt idx="7">
                  <c:v>4.6826344630112714E-3</c:v>
                </c:pt>
                <c:pt idx="8">
                  <c:v>0.5402910696333284</c:v>
                </c:pt>
                <c:pt idx="9">
                  <c:v>-4.0364966336369684E-2</c:v>
                </c:pt>
                <c:pt idx="10">
                  <c:v>0.13081857428827162</c:v>
                </c:pt>
                <c:pt idx="11">
                  <c:v>-3.5925749164685522E-2</c:v>
                </c:pt>
                <c:pt idx="12">
                  <c:v>-8.6339864623411963E-3</c:v>
                </c:pt>
                <c:pt idx="13">
                  <c:v>1.9470822756696711E-2</c:v>
                </c:pt>
                <c:pt idx="14">
                  <c:v>6.2925792902447333E-2</c:v>
                </c:pt>
                <c:pt idx="15">
                  <c:v>5.8370816309606811E-2</c:v>
                </c:pt>
                <c:pt idx="16">
                  <c:v>0.45857920307969086</c:v>
                </c:pt>
                <c:pt idx="17">
                  <c:v>-3.6587685808849475E-2</c:v>
                </c:pt>
                <c:pt idx="18">
                  <c:v>-0.11464075508742642</c:v>
                </c:pt>
                <c:pt idx="19">
                  <c:v>3.5514325492507624E-2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1F6-ACE9-FB735AC413C8}"/>
            </c:ext>
          </c:extLst>
        </c:ser>
        <c:ser>
          <c:idx val="1"/>
          <c:order val="1"/>
          <c:tx>
            <c:v>Medium-Risk</c:v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'Part2(e,f)'!$D$32:$D$51</c:f>
              <c:strCache>
                <c:ptCount val="20"/>
                <c:pt idx="0">
                  <c:v>WTTR</c:v>
                </c:pt>
                <c:pt idx="1">
                  <c:v>ALTM</c:v>
                </c:pt>
                <c:pt idx="2">
                  <c:v>APPN</c:v>
                </c:pt>
                <c:pt idx="3">
                  <c:v>FPH</c:v>
                </c:pt>
                <c:pt idx="4">
                  <c:v>SOI</c:v>
                </c:pt>
                <c:pt idx="5">
                  <c:v>ATUS</c:v>
                </c:pt>
                <c:pt idx="6">
                  <c:v>APRN</c:v>
                </c:pt>
                <c:pt idx="7">
                  <c:v>MOG</c:v>
                </c:pt>
                <c:pt idx="8">
                  <c:v>BXMT</c:v>
                </c:pt>
                <c:pt idx="9">
                  <c:v>HOV</c:v>
                </c:pt>
                <c:pt idx="10">
                  <c:v>WSO</c:v>
                </c:pt>
                <c:pt idx="11">
                  <c:v>VOXX</c:v>
                </c:pt>
                <c:pt idx="12">
                  <c:v>BHGE / BKR</c:v>
                </c:pt>
                <c:pt idx="13">
                  <c:v>VIACA</c:v>
                </c:pt>
                <c:pt idx="14">
                  <c:v>CRD</c:v>
                </c:pt>
                <c:pt idx="15">
                  <c:v>TCX</c:v>
                </c:pt>
                <c:pt idx="16">
                  <c:v>ARTNA</c:v>
                </c:pt>
                <c:pt idx="17">
                  <c:v>AMRC</c:v>
                </c:pt>
                <c:pt idx="18">
                  <c:v>MGY</c:v>
                </c:pt>
                <c:pt idx="19">
                  <c:v>QUAD</c:v>
                </c:pt>
              </c:strCache>
            </c:strRef>
          </c:cat>
          <c:val>
            <c:numRef>
              <c:f>'Part2(e,f)'!$F$32:$F$51</c:f>
              <c:numCache>
                <c:formatCode>0.0000</c:formatCode>
                <c:ptCount val="20"/>
                <c:pt idx="0">
                  <c:v>-5.3580896389220097E-2</c:v>
                </c:pt>
                <c:pt idx="1">
                  <c:v>-1.2374171639577042E-2</c:v>
                </c:pt>
                <c:pt idx="2">
                  <c:v>7.3791707001489862E-2</c:v>
                </c:pt>
                <c:pt idx="3">
                  <c:v>-0.20482276786786491</c:v>
                </c:pt>
                <c:pt idx="4">
                  <c:v>-8.4206951682369441E-3</c:v>
                </c:pt>
                <c:pt idx="5">
                  <c:v>-0.22485374225451835</c:v>
                </c:pt>
                <c:pt idx="6">
                  <c:v>7.1390632052131886E-3</c:v>
                </c:pt>
                <c:pt idx="7">
                  <c:v>4.1334784565446661E-2</c:v>
                </c:pt>
                <c:pt idx="8">
                  <c:v>0.31672641280940189</c:v>
                </c:pt>
                <c:pt idx="9">
                  <c:v>-1.1320927289554739E-2</c:v>
                </c:pt>
                <c:pt idx="10">
                  <c:v>0.32471170589284715</c:v>
                </c:pt>
                <c:pt idx="11">
                  <c:v>1.2914470357434968E-2</c:v>
                </c:pt>
                <c:pt idx="12">
                  <c:v>2.3904824653928288E-2</c:v>
                </c:pt>
                <c:pt idx="13">
                  <c:v>-0.1741092951958147</c:v>
                </c:pt>
                <c:pt idx="14">
                  <c:v>6.2159453410987201E-3</c:v>
                </c:pt>
                <c:pt idx="15">
                  <c:v>1.5594254692028876E-3</c:v>
                </c:pt>
                <c:pt idx="16">
                  <c:v>0.6583190808785474</c:v>
                </c:pt>
                <c:pt idx="17">
                  <c:v>6.1871758131242023E-2</c:v>
                </c:pt>
                <c:pt idx="18">
                  <c:v>0.15577069320511561</c:v>
                </c:pt>
                <c:pt idx="19">
                  <c:v>5.2226664747832214E-3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2E-41F6-ACE9-FB735AC413C8}"/>
            </c:ext>
          </c:extLst>
        </c:ser>
        <c:ser>
          <c:idx val="2"/>
          <c:order val="2"/>
          <c:tx>
            <c:v>High-Risk</c:v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'Part2(e,f)'!$D$32:$D$51</c:f>
              <c:strCache>
                <c:ptCount val="20"/>
                <c:pt idx="0">
                  <c:v>WTTR</c:v>
                </c:pt>
                <c:pt idx="1">
                  <c:v>ALTM</c:v>
                </c:pt>
                <c:pt idx="2">
                  <c:v>APPN</c:v>
                </c:pt>
                <c:pt idx="3">
                  <c:v>FPH</c:v>
                </c:pt>
                <c:pt idx="4">
                  <c:v>SOI</c:v>
                </c:pt>
                <c:pt idx="5">
                  <c:v>ATUS</c:v>
                </c:pt>
                <c:pt idx="6">
                  <c:v>APRN</c:v>
                </c:pt>
                <c:pt idx="7">
                  <c:v>MOG</c:v>
                </c:pt>
                <c:pt idx="8">
                  <c:v>BXMT</c:v>
                </c:pt>
                <c:pt idx="9">
                  <c:v>HOV</c:v>
                </c:pt>
                <c:pt idx="10">
                  <c:v>WSO</c:v>
                </c:pt>
                <c:pt idx="11">
                  <c:v>VOXX</c:v>
                </c:pt>
                <c:pt idx="12">
                  <c:v>BHGE / BKR</c:v>
                </c:pt>
                <c:pt idx="13">
                  <c:v>VIACA</c:v>
                </c:pt>
                <c:pt idx="14">
                  <c:v>CRD</c:v>
                </c:pt>
                <c:pt idx="15">
                  <c:v>TCX</c:v>
                </c:pt>
                <c:pt idx="16">
                  <c:v>ARTNA</c:v>
                </c:pt>
                <c:pt idx="17">
                  <c:v>AMRC</c:v>
                </c:pt>
                <c:pt idx="18">
                  <c:v>MGY</c:v>
                </c:pt>
                <c:pt idx="19">
                  <c:v>QUAD</c:v>
                </c:pt>
              </c:strCache>
            </c:strRef>
          </c:cat>
          <c:val>
            <c:numRef>
              <c:f>'Part2(e,f)'!$G$32:$G$51</c:f>
              <c:numCache>
                <c:formatCode>0.0000</c:formatCode>
                <c:ptCount val="20"/>
                <c:pt idx="0">
                  <c:v>-7.1278590831019353E-2</c:v>
                </c:pt>
                <c:pt idx="1">
                  <c:v>-7.3823044965578219E-3</c:v>
                </c:pt>
                <c:pt idx="2">
                  <c:v>0.10638159347242424</c:v>
                </c:pt>
                <c:pt idx="3">
                  <c:v>-0.31485521509363179</c:v>
                </c:pt>
                <c:pt idx="4">
                  <c:v>-3.463064234228392E-2</c:v>
                </c:pt>
                <c:pt idx="5">
                  <c:v>-0.29200141767340615</c:v>
                </c:pt>
                <c:pt idx="6">
                  <c:v>-6.0761008395865419E-3</c:v>
                </c:pt>
                <c:pt idx="7">
                  <c:v>7.4931746761679588E-2</c:v>
                </c:pt>
                <c:pt idx="8">
                  <c:v>0.19192888447800177</c:v>
                </c:pt>
                <c:pt idx="9">
                  <c:v>5.6222570907451478E-3</c:v>
                </c:pt>
                <c:pt idx="10">
                  <c:v>0.42460205529772138</c:v>
                </c:pt>
                <c:pt idx="11">
                  <c:v>4.2261771845117271E-2</c:v>
                </c:pt>
                <c:pt idx="12">
                  <c:v>3.7777786219764346E-2</c:v>
                </c:pt>
                <c:pt idx="13">
                  <c:v>-0.28300899607374552</c:v>
                </c:pt>
                <c:pt idx="14">
                  <c:v>-2.7617916516135693E-2</c:v>
                </c:pt>
                <c:pt idx="15">
                  <c:v>-3.1750137912073609E-2</c:v>
                </c:pt>
                <c:pt idx="16">
                  <c:v>0.76671739760262836</c:v>
                </c:pt>
                <c:pt idx="17">
                  <c:v>0.11950486631197914</c:v>
                </c:pt>
                <c:pt idx="18">
                  <c:v>0.31132156534200423</c:v>
                </c:pt>
                <c:pt idx="19">
                  <c:v>-1.2448590815250786E-2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2E-41F6-ACE9-FB735AC41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463545808"/>
        <c:axId val="1463545328"/>
      </c:barChart>
      <c:catAx>
        <c:axId val="146354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3545328"/>
        <c:crosses val="autoZero"/>
        <c:auto val="0"/>
        <c:lblAlgn val="ctr"/>
        <c:lblOffset val="0"/>
        <c:noMultiLvlLbl val="0"/>
      </c:catAx>
      <c:valAx>
        <c:axId val="14635453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354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MY"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STOCKS WITH THE THREE HIGHEST OUTSTANDING RETURN</a:t>
            </a:r>
          </a:p>
        </c:rich>
      </c:tx>
      <c:layout>
        <c:manualLayout>
          <c:xMode val="edge"/>
          <c:yMode val="edge"/>
          <c:x val="0.1549209004664702"/>
          <c:y val="4.8791138709621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19909966079467"/>
          <c:y val="0.14586213365826611"/>
          <c:w val="0.82737269105297506"/>
          <c:h val="0.6213167332475753"/>
        </c:manualLayout>
      </c:layout>
      <c:lineChart>
        <c:grouping val="standard"/>
        <c:varyColors val="0"/>
        <c:ser>
          <c:idx val="1"/>
          <c:order val="1"/>
          <c:tx>
            <c:strRef>
              <c:f>'Part2(a)'!$C$2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'Part2(a)'!$A$3:$A$62</c:f>
              <c:numCache>
                <c:formatCode>m/d/yyyy</c:formatCode>
                <c:ptCount val="60"/>
                <c:pt idx="0">
                  <c:v>43131</c:v>
                </c:pt>
                <c:pt idx="1">
                  <c:v>43159</c:v>
                </c:pt>
                <c:pt idx="2">
                  <c:v>43188</c:v>
                </c:pt>
                <c:pt idx="3">
                  <c:v>43220</c:v>
                </c:pt>
                <c:pt idx="4">
                  <c:v>43251</c:v>
                </c:pt>
                <c:pt idx="5">
                  <c:v>43280</c:v>
                </c:pt>
                <c:pt idx="6">
                  <c:v>43312</c:v>
                </c:pt>
                <c:pt idx="7">
                  <c:v>43343</c:v>
                </c:pt>
                <c:pt idx="8">
                  <c:v>43371</c:v>
                </c:pt>
                <c:pt idx="9">
                  <c:v>43404</c:v>
                </c:pt>
                <c:pt idx="10">
                  <c:v>43434</c:v>
                </c:pt>
                <c:pt idx="11">
                  <c:v>43465</c:v>
                </c:pt>
                <c:pt idx="12">
                  <c:v>43496</c:v>
                </c:pt>
                <c:pt idx="13">
                  <c:v>43524</c:v>
                </c:pt>
                <c:pt idx="14">
                  <c:v>43553</c:v>
                </c:pt>
                <c:pt idx="15">
                  <c:v>43585</c:v>
                </c:pt>
                <c:pt idx="16">
                  <c:v>43616</c:v>
                </c:pt>
                <c:pt idx="17">
                  <c:v>43644</c:v>
                </c:pt>
                <c:pt idx="18">
                  <c:v>43677</c:v>
                </c:pt>
                <c:pt idx="19">
                  <c:v>43707</c:v>
                </c:pt>
                <c:pt idx="20">
                  <c:v>43738</c:v>
                </c:pt>
                <c:pt idx="21">
                  <c:v>43769</c:v>
                </c:pt>
                <c:pt idx="22">
                  <c:v>43798</c:v>
                </c:pt>
                <c:pt idx="23">
                  <c:v>43830</c:v>
                </c:pt>
                <c:pt idx="24">
                  <c:v>43861</c:v>
                </c:pt>
                <c:pt idx="25">
                  <c:v>43889</c:v>
                </c:pt>
                <c:pt idx="26">
                  <c:v>43921</c:v>
                </c:pt>
                <c:pt idx="27">
                  <c:v>43951</c:v>
                </c:pt>
                <c:pt idx="28">
                  <c:v>43980</c:v>
                </c:pt>
                <c:pt idx="29">
                  <c:v>44012</c:v>
                </c:pt>
                <c:pt idx="30">
                  <c:v>44043</c:v>
                </c:pt>
                <c:pt idx="31">
                  <c:v>44074</c:v>
                </c:pt>
                <c:pt idx="32">
                  <c:v>44104</c:v>
                </c:pt>
                <c:pt idx="33">
                  <c:v>44134</c:v>
                </c:pt>
                <c:pt idx="34">
                  <c:v>44165</c:v>
                </c:pt>
                <c:pt idx="35">
                  <c:v>44196</c:v>
                </c:pt>
                <c:pt idx="36">
                  <c:v>44225</c:v>
                </c:pt>
                <c:pt idx="37">
                  <c:v>44253</c:v>
                </c:pt>
                <c:pt idx="38">
                  <c:v>44286</c:v>
                </c:pt>
                <c:pt idx="39">
                  <c:v>44316</c:v>
                </c:pt>
                <c:pt idx="40">
                  <c:v>44344</c:v>
                </c:pt>
                <c:pt idx="41">
                  <c:v>44377</c:v>
                </c:pt>
                <c:pt idx="42">
                  <c:v>44407</c:v>
                </c:pt>
                <c:pt idx="43">
                  <c:v>44439</c:v>
                </c:pt>
                <c:pt idx="44">
                  <c:v>44469</c:v>
                </c:pt>
                <c:pt idx="45">
                  <c:v>44498</c:v>
                </c:pt>
                <c:pt idx="46">
                  <c:v>44530</c:v>
                </c:pt>
                <c:pt idx="47">
                  <c:v>44561</c:v>
                </c:pt>
                <c:pt idx="48">
                  <c:v>44592</c:v>
                </c:pt>
                <c:pt idx="49">
                  <c:v>44620</c:v>
                </c:pt>
                <c:pt idx="50">
                  <c:v>44651</c:v>
                </c:pt>
                <c:pt idx="51">
                  <c:v>44680</c:v>
                </c:pt>
                <c:pt idx="52">
                  <c:v>44712</c:v>
                </c:pt>
                <c:pt idx="53">
                  <c:v>44742</c:v>
                </c:pt>
                <c:pt idx="54">
                  <c:v>44771</c:v>
                </c:pt>
                <c:pt idx="55">
                  <c:v>44804</c:v>
                </c:pt>
                <c:pt idx="56">
                  <c:v>44834</c:v>
                </c:pt>
                <c:pt idx="57">
                  <c:v>44865</c:v>
                </c:pt>
                <c:pt idx="58">
                  <c:v>44895</c:v>
                </c:pt>
                <c:pt idx="59">
                  <c:v>44925</c:v>
                </c:pt>
              </c:numCache>
            </c:numRef>
          </c:cat>
          <c:val>
            <c:numRef>
              <c:f>'Part2(a)'!$C$3:$C$62</c:f>
              <c:numCache>
                <c:formatCode>0.0000</c:formatCode>
                <c:ptCount val="60"/>
                <c:pt idx="0">
                  <c:v>-2.059732234809486E-3</c:v>
                </c:pt>
                <c:pt idx="1">
                  <c:v>3.6119711042310598E-3</c:v>
                </c:pt>
                <c:pt idx="2">
                  <c:v>6.6838046272492679E-3</c:v>
                </c:pt>
                <c:pt idx="3">
                  <c:v>-1.0214504596527396E-3</c:v>
                </c:pt>
                <c:pt idx="4">
                  <c:v>5.1124744376278564E-3</c:v>
                </c:pt>
                <c:pt idx="5">
                  <c:v>6.1037639877925542E-3</c:v>
                </c:pt>
                <c:pt idx="6">
                  <c:v>6.0667340748230547E-3</c:v>
                </c:pt>
                <c:pt idx="7">
                  <c:v>3.2160804020100464E-2</c:v>
                </c:pt>
                <c:pt idx="8">
                  <c:v>-1.071080817916259E-2</c:v>
                </c:pt>
                <c:pt idx="9">
                  <c:v>-8.8582677165354173E-3</c:v>
                </c:pt>
                <c:pt idx="10">
                  <c:v>-0.2413108242303873</c:v>
                </c:pt>
                <c:pt idx="11">
                  <c:v>1.1780104712041828E-2</c:v>
                </c:pt>
                <c:pt idx="12">
                  <c:v>4.7865459249676556E-2</c:v>
                </c:pt>
                <c:pt idx="13">
                  <c:v>-0.24444444444444446</c:v>
                </c:pt>
                <c:pt idx="14">
                  <c:v>-3.5947712418300637E-2</c:v>
                </c:pt>
                <c:pt idx="15">
                  <c:v>-0.14406779661016944</c:v>
                </c:pt>
                <c:pt idx="16">
                  <c:v>-9.3069306930693041E-2</c:v>
                </c:pt>
                <c:pt idx="17">
                  <c:v>-0.18777292576419213</c:v>
                </c:pt>
                <c:pt idx="18">
                  <c:v>-0.13709677419354838</c:v>
                </c:pt>
                <c:pt idx="19">
                  <c:v>-0.28037383177570097</c:v>
                </c:pt>
                <c:pt idx="20">
                  <c:v>0.22510822510822504</c:v>
                </c:pt>
                <c:pt idx="21">
                  <c:v>-0.22261484098939932</c:v>
                </c:pt>
                <c:pt idx="22">
                  <c:v>-0.12272727272727268</c:v>
                </c:pt>
                <c:pt idx="23">
                  <c:v>0.4818652849740932</c:v>
                </c:pt>
                <c:pt idx="24">
                  <c:v>-0.27272727272727271</c:v>
                </c:pt>
                <c:pt idx="25">
                  <c:v>-0.29807692307692313</c:v>
                </c:pt>
                <c:pt idx="26">
                  <c:v>-0.48630136986301364</c:v>
                </c:pt>
                <c:pt idx="27">
                  <c:v>1.3333333333333419E-2</c:v>
                </c:pt>
                <c:pt idx="28">
                  <c:v>-9.2105263157894801E-2</c:v>
                </c:pt>
                <c:pt idx="29">
                  <c:v>-8.1594202898550683E-2</c:v>
                </c:pt>
                <c:pt idx="30">
                  <c:v>6.9906896007574604E-2</c:v>
                </c:pt>
                <c:pt idx="31">
                  <c:v>-2.9498525073746285E-2</c:v>
                </c:pt>
                <c:pt idx="32">
                  <c:v>-0.1557750759878419</c:v>
                </c:pt>
                <c:pt idx="33">
                  <c:v>-0.1314131413141314</c:v>
                </c:pt>
                <c:pt idx="34">
                  <c:v>3.0538860103626941</c:v>
                </c:pt>
                <c:pt idx="35">
                  <c:v>0.21319018404907975</c:v>
                </c:pt>
                <c:pt idx="36">
                  <c:v>-6.3211125158024739E-4</c:v>
                </c:pt>
                <c:pt idx="37">
                  <c:v>0.14606864251076779</c:v>
                </c:pt>
                <c:pt idx="38">
                  <c:v>-8.8779750661125423E-3</c:v>
                </c:pt>
                <c:pt idx="39">
                  <c:v>0.14351057747284157</c:v>
                </c:pt>
                <c:pt idx="40">
                  <c:v>7.4195409461494499E-2</c:v>
                </c:pt>
                <c:pt idx="41">
                  <c:v>7.1927596062242083E-2</c:v>
                </c:pt>
                <c:pt idx="42">
                  <c:v>-5.4214190490297742E-2</c:v>
                </c:pt>
                <c:pt idx="43">
                  <c:v>4.5031826534526198E-2</c:v>
                </c:pt>
                <c:pt idx="44">
                  <c:v>5.9067198527155584E-2</c:v>
                </c:pt>
                <c:pt idx="45">
                  <c:v>-0.10444734173547732</c:v>
                </c:pt>
                <c:pt idx="46">
                  <c:v>4.99707885002596E-2</c:v>
                </c:pt>
                <c:pt idx="47">
                  <c:v>-3.2660145156200637E-2</c:v>
                </c:pt>
                <c:pt idx="48">
                  <c:v>2.8054151035720176E-2</c:v>
                </c:pt>
                <c:pt idx="49">
                  <c:v>7.8851340631445277E-2</c:v>
                </c:pt>
                <c:pt idx="50">
                  <c:v>-4.3970588235294095E-2</c:v>
                </c:pt>
                <c:pt idx="51">
                  <c:v>9.4447008152591883E-2</c:v>
                </c:pt>
                <c:pt idx="52">
                  <c:v>0.20543709508177788</c:v>
                </c:pt>
                <c:pt idx="53">
                  <c:v>-0.18752974773917186</c:v>
                </c:pt>
                <c:pt idx="54">
                  <c:v>0.19156414762741658</c:v>
                </c:pt>
                <c:pt idx="55">
                  <c:v>-7.5774190769545946E-2</c:v>
                </c:pt>
                <c:pt idx="56">
                  <c:v>-0.11635475996745326</c:v>
                </c:pt>
                <c:pt idx="57">
                  <c:v>0.1289134438305708</c:v>
                </c:pt>
                <c:pt idx="58">
                  <c:v>-5.5678845853219916E-2</c:v>
                </c:pt>
                <c:pt idx="59">
                  <c:v>-2.7916544225683237E-2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A4-4931-9BFC-139A01E5B0FF}"/>
            </c:ext>
          </c:extLst>
        </c:ser>
        <c:ser>
          <c:idx val="6"/>
          <c:order val="6"/>
          <c:tx>
            <c:strRef>
              <c:f>'Part2(a)'!$H$2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'Part2(a)'!$A$3:$A$62</c:f>
              <c:numCache>
                <c:formatCode>m/d/yyyy</c:formatCode>
                <c:ptCount val="60"/>
                <c:pt idx="0">
                  <c:v>43131</c:v>
                </c:pt>
                <c:pt idx="1">
                  <c:v>43159</c:v>
                </c:pt>
                <c:pt idx="2">
                  <c:v>43188</c:v>
                </c:pt>
                <c:pt idx="3">
                  <c:v>43220</c:v>
                </c:pt>
                <c:pt idx="4">
                  <c:v>43251</c:v>
                </c:pt>
                <c:pt idx="5">
                  <c:v>43280</c:v>
                </c:pt>
                <c:pt idx="6">
                  <c:v>43312</c:v>
                </c:pt>
                <c:pt idx="7">
                  <c:v>43343</c:v>
                </c:pt>
                <c:pt idx="8">
                  <c:v>43371</c:v>
                </c:pt>
                <c:pt idx="9">
                  <c:v>43404</c:v>
                </c:pt>
                <c:pt idx="10">
                  <c:v>43434</c:v>
                </c:pt>
                <c:pt idx="11">
                  <c:v>43465</c:v>
                </c:pt>
                <c:pt idx="12">
                  <c:v>43496</c:v>
                </c:pt>
                <c:pt idx="13">
                  <c:v>43524</c:v>
                </c:pt>
                <c:pt idx="14">
                  <c:v>43553</c:v>
                </c:pt>
                <c:pt idx="15">
                  <c:v>43585</c:v>
                </c:pt>
                <c:pt idx="16">
                  <c:v>43616</c:v>
                </c:pt>
                <c:pt idx="17">
                  <c:v>43644</c:v>
                </c:pt>
                <c:pt idx="18">
                  <c:v>43677</c:v>
                </c:pt>
                <c:pt idx="19">
                  <c:v>43707</c:v>
                </c:pt>
                <c:pt idx="20">
                  <c:v>43738</c:v>
                </c:pt>
                <c:pt idx="21">
                  <c:v>43769</c:v>
                </c:pt>
                <c:pt idx="22">
                  <c:v>43798</c:v>
                </c:pt>
                <c:pt idx="23">
                  <c:v>43830</c:v>
                </c:pt>
                <c:pt idx="24">
                  <c:v>43861</c:v>
                </c:pt>
                <c:pt idx="25">
                  <c:v>43889</c:v>
                </c:pt>
                <c:pt idx="26">
                  <c:v>43921</c:v>
                </c:pt>
                <c:pt idx="27">
                  <c:v>43951</c:v>
                </c:pt>
                <c:pt idx="28">
                  <c:v>43980</c:v>
                </c:pt>
                <c:pt idx="29">
                  <c:v>44012</c:v>
                </c:pt>
                <c:pt idx="30">
                  <c:v>44043</c:v>
                </c:pt>
                <c:pt idx="31">
                  <c:v>44074</c:v>
                </c:pt>
                <c:pt idx="32">
                  <c:v>44104</c:v>
                </c:pt>
                <c:pt idx="33">
                  <c:v>44134</c:v>
                </c:pt>
                <c:pt idx="34">
                  <c:v>44165</c:v>
                </c:pt>
                <c:pt idx="35">
                  <c:v>44196</c:v>
                </c:pt>
                <c:pt idx="36">
                  <c:v>44225</c:v>
                </c:pt>
                <c:pt idx="37">
                  <c:v>44253</c:v>
                </c:pt>
                <c:pt idx="38">
                  <c:v>44286</c:v>
                </c:pt>
                <c:pt idx="39">
                  <c:v>44316</c:v>
                </c:pt>
                <c:pt idx="40">
                  <c:v>44344</c:v>
                </c:pt>
                <c:pt idx="41">
                  <c:v>44377</c:v>
                </c:pt>
                <c:pt idx="42">
                  <c:v>44407</c:v>
                </c:pt>
                <c:pt idx="43">
                  <c:v>44439</c:v>
                </c:pt>
                <c:pt idx="44">
                  <c:v>44469</c:v>
                </c:pt>
                <c:pt idx="45">
                  <c:v>44498</c:v>
                </c:pt>
                <c:pt idx="46">
                  <c:v>44530</c:v>
                </c:pt>
                <c:pt idx="47">
                  <c:v>44561</c:v>
                </c:pt>
                <c:pt idx="48">
                  <c:v>44592</c:v>
                </c:pt>
                <c:pt idx="49">
                  <c:v>44620</c:v>
                </c:pt>
                <c:pt idx="50">
                  <c:v>44651</c:v>
                </c:pt>
                <c:pt idx="51">
                  <c:v>44680</c:v>
                </c:pt>
                <c:pt idx="52">
                  <c:v>44712</c:v>
                </c:pt>
                <c:pt idx="53">
                  <c:v>44742</c:v>
                </c:pt>
                <c:pt idx="54">
                  <c:v>44771</c:v>
                </c:pt>
                <c:pt idx="55">
                  <c:v>44804</c:v>
                </c:pt>
                <c:pt idx="56">
                  <c:v>44834</c:v>
                </c:pt>
                <c:pt idx="57">
                  <c:v>44865</c:v>
                </c:pt>
                <c:pt idx="58">
                  <c:v>44895</c:v>
                </c:pt>
                <c:pt idx="59">
                  <c:v>44925</c:v>
                </c:pt>
              </c:numCache>
            </c:numRef>
          </c:cat>
          <c:val>
            <c:numRef>
              <c:f>'Part2(a)'!$H$3:$H$62</c:f>
              <c:numCache>
                <c:formatCode>0.0000</c:formatCode>
                <c:ptCount val="60"/>
                <c:pt idx="0">
                  <c:v>-0.25806451612903225</c:v>
                </c:pt>
                <c:pt idx="1">
                  <c:v>-6.6889632107023478E-2</c:v>
                </c:pt>
                <c:pt idx="2">
                  <c:v>-0.28315412186379929</c:v>
                </c:pt>
                <c:pt idx="3">
                  <c:v>4.4999999999999929E-2</c:v>
                </c:pt>
                <c:pt idx="4">
                  <c:v>0.46889952153110048</c:v>
                </c:pt>
                <c:pt idx="5">
                  <c:v>9.1205211726384405E-2</c:v>
                </c:pt>
                <c:pt idx="6">
                  <c:v>-0.29253731343283584</c:v>
                </c:pt>
                <c:pt idx="7">
                  <c:v>-0.14767932489451474</c:v>
                </c:pt>
                <c:pt idx="8">
                  <c:v>-0.14851485148514854</c:v>
                </c:pt>
                <c:pt idx="9">
                  <c:v>-0.17441860465116277</c:v>
                </c:pt>
                <c:pt idx="10">
                  <c:v>-0.176056338028169</c:v>
                </c:pt>
                <c:pt idx="11">
                  <c:v>-0.12820512820512819</c:v>
                </c:pt>
                <c:pt idx="12">
                  <c:v>0.37254901960784315</c:v>
                </c:pt>
                <c:pt idx="13">
                  <c:v>-0.23571428571428577</c:v>
                </c:pt>
                <c:pt idx="14">
                  <c:v>-8.411214953271029E-2</c:v>
                </c:pt>
                <c:pt idx="15">
                  <c:v>5.1020408163265252E-2</c:v>
                </c:pt>
                <c:pt idx="16">
                  <c:v>-0.32572815533980581</c:v>
                </c:pt>
                <c:pt idx="17">
                  <c:v>-0.35109256155507562</c:v>
                </c:pt>
                <c:pt idx="18">
                  <c:v>0.29881656804733736</c:v>
                </c:pt>
                <c:pt idx="19">
                  <c:v>-0.22779043280182232</c:v>
                </c:pt>
                <c:pt idx="20">
                  <c:v>0.24336283185840712</c:v>
                </c:pt>
                <c:pt idx="21">
                  <c:v>-0.15065243179122179</c:v>
                </c:pt>
                <c:pt idx="22">
                  <c:v>-5.8659217877094938E-2</c:v>
                </c:pt>
                <c:pt idx="23">
                  <c:v>-2.3738872403560873E-2</c:v>
                </c:pt>
                <c:pt idx="24">
                  <c:v>-0.41337386018237077</c:v>
                </c:pt>
                <c:pt idx="25">
                  <c:v>-0.25906735751295329</c:v>
                </c:pt>
                <c:pt idx="26">
                  <c:v>3.2132867132867133</c:v>
                </c:pt>
                <c:pt idx="27">
                  <c:v>-0.36182572614107877</c:v>
                </c:pt>
                <c:pt idx="28">
                  <c:v>0.22496749024707419</c:v>
                </c:pt>
                <c:pt idx="29">
                  <c:v>0.17728237791932044</c:v>
                </c:pt>
                <c:pt idx="30">
                  <c:v>7.935076645626693E-2</c:v>
                </c:pt>
                <c:pt idx="31">
                  <c:v>-0.43943191311612362</c:v>
                </c:pt>
                <c:pt idx="32">
                  <c:v>6.7064083457526014E-2</c:v>
                </c:pt>
                <c:pt idx="33">
                  <c:v>-0.3994413407821229</c:v>
                </c:pt>
                <c:pt idx="34">
                  <c:v>0.78372093023255807</c:v>
                </c:pt>
                <c:pt idx="35">
                  <c:v>-0.27118644067796605</c:v>
                </c:pt>
                <c:pt idx="36">
                  <c:v>0.80679785330948128</c:v>
                </c:pt>
                <c:pt idx="37">
                  <c:v>-0.12772277227722773</c:v>
                </c:pt>
                <c:pt idx="38">
                  <c:v>-0.28376844494892162</c:v>
                </c:pt>
                <c:pt idx="39">
                  <c:v>-6.0221870047543535E-2</c:v>
                </c:pt>
                <c:pt idx="40">
                  <c:v>-0.15682967959527827</c:v>
                </c:pt>
                <c:pt idx="41">
                  <c:v>-0.14400000000000002</c:v>
                </c:pt>
                <c:pt idx="42">
                  <c:v>2.8037383177570208E-2</c:v>
                </c:pt>
                <c:pt idx="43">
                  <c:v>-5.4545454545454564E-2</c:v>
                </c:pt>
                <c:pt idx="44">
                  <c:v>0.76682692307692313</c:v>
                </c:pt>
                <c:pt idx="45">
                  <c:v>0.24489795918367352</c:v>
                </c:pt>
                <c:pt idx="46">
                  <c:v>0.22513661202185786</c:v>
                </c:pt>
                <c:pt idx="47">
                  <c:v>-0.39964317573594998</c:v>
                </c:pt>
                <c:pt idx="48">
                  <c:v>0.1485884101040118</c:v>
                </c:pt>
                <c:pt idx="49">
                  <c:v>-0.32341526520051744</c:v>
                </c:pt>
                <c:pt idx="50">
                  <c:v>-0.22562141491395793</c:v>
                </c:pt>
                <c:pt idx="51">
                  <c:v>-0.25432098765432098</c:v>
                </c:pt>
                <c:pt idx="52">
                  <c:v>9.27152317880795E-2</c:v>
                </c:pt>
                <c:pt idx="53">
                  <c:v>0.10303030303030303</c:v>
                </c:pt>
                <c:pt idx="54">
                  <c:v>-0.17307692307692302</c:v>
                </c:pt>
                <c:pt idx="55">
                  <c:v>0.93023255813953498</c:v>
                </c:pt>
                <c:pt idx="56">
                  <c:v>-5.1635111876076056E-3</c:v>
                </c:pt>
                <c:pt idx="57">
                  <c:v>-0.58304498269896188</c:v>
                </c:pt>
                <c:pt idx="58">
                  <c:v>-0.57676348547717837</c:v>
                </c:pt>
                <c:pt idx="59">
                  <c:v>-0.18627450980392157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A4-4931-9BFC-139A01E5B0FF}"/>
            </c:ext>
          </c:extLst>
        </c:ser>
        <c:ser>
          <c:idx val="9"/>
          <c:order val="9"/>
          <c:tx>
            <c:strRef>
              <c:f>'Part2(a)'!$K$2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'Part2(a)'!$A$3:$A$62</c:f>
              <c:numCache>
                <c:formatCode>m/d/yyyy</c:formatCode>
                <c:ptCount val="60"/>
                <c:pt idx="0">
                  <c:v>43131</c:v>
                </c:pt>
                <c:pt idx="1">
                  <c:v>43159</c:v>
                </c:pt>
                <c:pt idx="2">
                  <c:v>43188</c:v>
                </c:pt>
                <c:pt idx="3">
                  <c:v>43220</c:v>
                </c:pt>
                <c:pt idx="4">
                  <c:v>43251</c:v>
                </c:pt>
                <c:pt idx="5">
                  <c:v>43280</c:v>
                </c:pt>
                <c:pt idx="6">
                  <c:v>43312</c:v>
                </c:pt>
                <c:pt idx="7">
                  <c:v>43343</c:v>
                </c:pt>
                <c:pt idx="8">
                  <c:v>43371</c:v>
                </c:pt>
                <c:pt idx="9">
                  <c:v>43404</c:v>
                </c:pt>
                <c:pt idx="10">
                  <c:v>43434</c:v>
                </c:pt>
                <c:pt idx="11">
                  <c:v>43465</c:v>
                </c:pt>
                <c:pt idx="12">
                  <c:v>43496</c:v>
                </c:pt>
                <c:pt idx="13">
                  <c:v>43524</c:v>
                </c:pt>
                <c:pt idx="14">
                  <c:v>43553</c:v>
                </c:pt>
                <c:pt idx="15">
                  <c:v>43585</c:v>
                </c:pt>
                <c:pt idx="16">
                  <c:v>43616</c:v>
                </c:pt>
                <c:pt idx="17">
                  <c:v>43644</c:v>
                </c:pt>
                <c:pt idx="18">
                  <c:v>43677</c:v>
                </c:pt>
                <c:pt idx="19">
                  <c:v>43707</c:v>
                </c:pt>
                <c:pt idx="20">
                  <c:v>43738</c:v>
                </c:pt>
                <c:pt idx="21">
                  <c:v>43769</c:v>
                </c:pt>
                <c:pt idx="22">
                  <c:v>43798</c:v>
                </c:pt>
                <c:pt idx="23">
                  <c:v>43830</c:v>
                </c:pt>
                <c:pt idx="24">
                  <c:v>43861</c:v>
                </c:pt>
                <c:pt idx="25">
                  <c:v>43889</c:v>
                </c:pt>
                <c:pt idx="26">
                  <c:v>43921</c:v>
                </c:pt>
                <c:pt idx="27">
                  <c:v>43951</c:v>
                </c:pt>
                <c:pt idx="28">
                  <c:v>43980</c:v>
                </c:pt>
                <c:pt idx="29">
                  <c:v>44012</c:v>
                </c:pt>
                <c:pt idx="30">
                  <c:v>44043</c:v>
                </c:pt>
                <c:pt idx="31">
                  <c:v>44074</c:v>
                </c:pt>
                <c:pt idx="32">
                  <c:v>44104</c:v>
                </c:pt>
                <c:pt idx="33">
                  <c:v>44134</c:v>
                </c:pt>
                <c:pt idx="34">
                  <c:v>44165</c:v>
                </c:pt>
                <c:pt idx="35">
                  <c:v>44196</c:v>
                </c:pt>
                <c:pt idx="36">
                  <c:v>44225</c:v>
                </c:pt>
                <c:pt idx="37">
                  <c:v>44253</c:v>
                </c:pt>
                <c:pt idx="38">
                  <c:v>44286</c:v>
                </c:pt>
                <c:pt idx="39">
                  <c:v>44316</c:v>
                </c:pt>
                <c:pt idx="40">
                  <c:v>44344</c:v>
                </c:pt>
                <c:pt idx="41">
                  <c:v>44377</c:v>
                </c:pt>
                <c:pt idx="42">
                  <c:v>44407</c:v>
                </c:pt>
                <c:pt idx="43">
                  <c:v>44439</c:v>
                </c:pt>
                <c:pt idx="44">
                  <c:v>44469</c:v>
                </c:pt>
                <c:pt idx="45">
                  <c:v>44498</c:v>
                </c:pt>
                <c:pt idx="46">
                  <c:v>44530</c:v>
                </c:pt>
                <c:pt idx="47">
                  <c:v>44561</c:v>
                </c:pt>
                <c:pt idx="48">
                  <c:v>44592</c:v>
                </c:pt>
                <c:pt idx="49">
                  <c:v>44620</c:v>
                </c:pt>
                <c:pt idx="50">
                  <c:v>44651</c:v>
                </c:pt>
                <c:pt idx="51">
                  <c:v>44680</c:v>
                </c:pt>
                <c:pt idx="52">
                  <c:v>44712</c:v>
                </c:pt>
                <c:pt idx="53">
                  <c:v>44742</c:v>
                </c:pt>
                <c:pt idx="54">
                  <c:v>44771</c:v>
                </c:pt>
                <c:pt idx="55">
                  <c:v>44804</c:v>
                </c:pt>
                <c:pt idx="56">
                  <c:v>44834</c:v>
                </c:pt>
                <c:pt idx="57">
                  <c:v>44865</c:v>
                </c:pt>
                <c:pt idx="58">
                  <c:v>44895</c:v>
                </c:pt>
                <c:pt idx="59">
                  <c:v>44925</c:v>
                </c:pt>
              </c:numCache>
            </c:numRef>
          </c:cat>
          <c:val>
            <c:numRef>
              <c:f>'Part2(a)'!$K$3:$K$62</c:f>
              <c:numCache>
                <c:formatCode>0.0000</c:formatCode>
                <c:ptCount val="60"/>
                <c:pt idx="0">
                  <c:v>-0.39402985074626901</c:v>
                </c:pt>
                <c:pt idx="1">
                  <c:v>7.3891625615763595E-2</c:v>
                </c:pt>
                <c:pt idx="2">
                  <c:v>-0.16055045871559601</c:v>
                </c:pt>
                <c:pt idx="3">
                  <c:v>9.8360655737704999E-2</c:v>
                </c:pt>
                <c:pt idx="4">
                  <c:v>-0.114427860696517</c:v>
                </c:pt>
                <c:pt idx="5">
                  <c:v>-8.4269662921348298E-2</c:v>
                </c:pt>
                <c:pt idx="6">
                  <c:v>-3.6809815950920297E-2</c:v>
                </c:pt>
                <c:pt idx="7">
                  <c:v>-6.3694267515923596E-3</c:v>
                </c:pt>
                <c:pt idx="8">
                  <c:v>2.5641025641025501E-2</c:v>
                </c:pt>
                <c:pt idx="9">
                  <c:v>-8.7499999999999994E-2</c:v>
                </c:pt>
                <c:pt idx="10">
                  <c:v>-0.13013698630136999</c:v>
                </c:pt>
                <c:pt idx="11">
                  <c:v>-0.46149606299212598</c:v>
                </c:pt>
                <c:pt idx="12">
                  <c:v>3.24608860944582E-2</c:v>
                </c:pt>
                <c:pt idx="13">
                  <c:v>-4.1070669876788E-2</c:v>
                </c:pt>
                <c:pt idx="14">
                  <c:v>-0.351942106040467</c:v>
                </c:pt>
                <c:pt idx="15">
                  <c:v>0.38742023701002698</c:v>
                </c:pt>
                <c:pt idx="16">
                  <c:v>-0.37582128777923801</c:v>
                </c:pt>
                <c:pt idx="17">
                  <c:v>-0.2</c:v>
                </c:pt>
                <c:pt idx="18">
                  <c:v>-0.21052631578947401</c:v>
                </c:pt>
                <c:pt idx="19">
                  <c:v>0.37333333333333302</c:v>
                </c:pt>
                <c:pt idx="20">
                  <c:v>1.33616504854369</c:v>
                </c:pt>
                <c:pt idx="21">
                  <c:v>0.30285714285714299</c:v>
                </c:pt>
                <c:pt idx="22">
                  <c:v>-0.110845295055821</c:v>
                </c:pt>
                <c:pt idx="23">
                  <c:v>-6.4125560538116605E-2</c:v>
                </c:pt>
                <c:pt idx="24">
                  <c:v>0.22472448490656399</c:v>
                </c:pt>
                <c:pt idx="25">
                  <c:v>-3.1690140845070401E-2</c:v>
                </c:pt>
                <c:pt idx="26">
                  <c:v>-0.66707070707070704</c:v>
                </c:pt>
                <c:pt idx="27">
                  <c:v>0.53155339805825297</c:v>
                </c:pt>
                <c:pt idx="28">
                  <c:v>0.29556259904912802</c:v>
                </c:pt>
                <c:pt idx="29">
                  <c:v>0.430581039755352</c:v>
                </c:pt>
                <c:pt idx="30">
                  <c:v>-3.8477982043608702E-3</c:v>
                </c:pt>
                <c:pt idx="31">
                  <c:v>0.34420600858369099</c:v>
                </c:pt>
                <c:pt idx="32">
                  <c:v>3.8314176245210801E-2</c:v>
                </c:pt>
                <c:pt idx="33">
                  <c:v>-2.3370233702337002E-2</c:v>
                </c:pt>
                <c:pt idx="34">
                  <c:v>0.25724181360201498</c:v>
                </c:pt>
                <c:pt idx="35">
                  <c:v>-0.17705985474580499</c:v>
                </c:pt>
                <c:pt idx="36">
                  <c:v>0.55690809494826499</c:v>
                </c:pt>
                <c:pt idx="37">
                  <c:v>0.124315871774824</c:v>
                </c:pt>
                <c:pt idx="38">
                  <c:v>0.83831710709318497</c:v>
                </c:pt>
                <c:pt idx="39">
                  <c:v>0.25392472101380698</c:v>
                </c:pt>
                <c:pt idx="40">
                  <c:v>7.4213741609472805E-2</c:v>
                </c:pt>
                <c:pt idx="41">
                  <c:v>-0.253738678649161</c:v>
                </c:pt>
                <c:pt idx="42">
                  <c:v>-1.7875623294759699E-2</c:v>
                </c:pt>
                <c:pt idx="43">
                  <c:v>4.1383274259986703E-2</c:v>
                </c:pt>
                <c:pt idx="44">
                  <c:v>-0.113329040566645</c:v>
                </c:pt>
                <c:pt idx="45">
                  <c:v>-0.12584292976449801</c:v>
                </c:pt>
                <c:pt idx="46">
                  <c:v>0.13351530975551901</c:v>
                </c:pt>
                <c:pt idx="47">
                  <c:v>0.33274002722228002</c:v>
                </c:pt>
                <c:pt idx="48">
                  <c:v>-0.23890329169612701</c:v>
                </c:pt>
                <c:pt idx="49">
                  <c:v>-7.84475639966975E-3</c:v>
                </c:pt>
                <c:pt idx="50">
                  <c:v>-0.38514357053682902</c:v>
                </c:pt>
                <c:pt idx="51">
                  <c:v>-0.221319796954315</c:v>
                </c:pt>
                <c:pt idx="52">
                  <c:v>0.112342459800087</c:v>
                </c:pt>
                <c:pt idx="53">
                  <c:v>-0.16409454971674201</c:v>
                </c:pt>
                <c:pt idx="54">
                  <c:v>0.133676092544987</c:v>
                </c:pt>
                <c:pt idx="55">
                  <c:v>-0.173572459286745</c:v>
                </c:pt>
                <c:pt idx="56">
                  <c:v>-0.10950361686206</c:v>
                </c:pt>
                <c:pt idx="57">
                  <c:v>0.12969187675070001</c:v>
                </c:pt>
                <c:pt idx="58">
                  <c:v>0.190428961071163</c:v>
                </c:pt>
                <c:pt idx="59">
                  <c:v>-0.123515934180379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A4-4931-9BFC-139A01E5B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4746351"/>
        <c:axId val="914747311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'Part2(a)'!$B$2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'Part2(a)'!$A$3:$A$62</c15:sqref>
                        </c15:formulaRef>
                      </c:ext>
                    </c:extLst>
                    <c:numCache>
                      <c:formatCode>m/d/yyyy</c:formatCode>
                      <c:ptCount val="60"/>
                      <c:pt idx="0">
                        <c:v>43131</c:v>
                      </c:pt>
                      <c:pt idx="1">
                        <c:v>43159</c:v>
                      </c:pt>
                      <c:pt idx="2">
                        <c:v>43188</c:v>
                      </c:pt>
                      <c:pt idx="3">
                        <c:v>43220</c:v>
                      </c:pt>
                      <c:pt idx="4">
                        <c:v>43251</c:v>
                      </c:pt>
                      <c:pt idx="5">
                        <c:v>43280</c:v>
                      </c:pt>
                      <c:pt idx="6">
                        <c:v>43312</c:v>
                      </c:pt>
                      <c:pt idx="7">
                        <c:v>43343</c:v>
                      </c:pt>
                      <c:pt idx="8">
                        <c:v>43371</c:v>
                      </c:pt>
                      <c:pt idx="9">
                        <c:v>43404</c:v>
                      </c:pt>
                      <c:pt idx="10">
                        <c:v>43434</c:v>
                      </c:pt>
                      <c:pt idx="11">
                        <c:v>43465</c:v>
                      </c:pt>
                      <c:pt idx="12">
                        <c:v>43496</c:v>
                      </c:pt>
                      <c:pt idx="13">
                        <c:v>43524</c:v>
                      </c:pt>
                      <c:pt idx="14">
                        <c:v>43553</c:v>
                      </c:pt>
                      <c:pt idx="15">
                        <c:v>43585</c:v>
                      </c:pt>
                      <c:pt idx="16">
                        <c:v>43616</c:v>
                      </c:pt>
                      <c:pt idx="17">
                        <c:v>43644</c:v>
                      </c:pt>
                      <c:pt idx="18">
                        <c:v>43677</c:v>
                      </c:pt>
                      <c:pt idx="19">
                        <c:v>43707</c:v>
                      </c:pt>
                      <c:pt idx="20">
                        <c:v>43738</c:v>
                      </c:pt>
                      <c:pt idx="21">
                        <c:v>43769</c:v>
                      </c:pt>
                      <c:pt idx="22">
                        <c:v>43798</c:v>
                      </c:pt>
                      <c:pt idx="23">
                        <c:v>43830</c:v>
                      </c:pt>
                      <c:pt idx="24">
                        <c:v>43861</c:v>
                      </c:pt>
                      <c:pt idx="25">
                        <c:v>43889</c:v>
                      </c:pt>
                      <c:pt idx="26">
                        <c:v>43921</c:v>
                      </c:pt>
                      <c:pt idx="27">
                        <c:v>43951</c:v>
                      </c:pt>
                      <c:pt idx="28">
                        <c:v>43980</c:v>
                      </c:pt>
                      <c:pt idx="29">
                        <c:v>44012</c:v>
                      </c:pt>
                      <c:pt idx="30">
                        <c:v>44043</c:v>
                      </c:pt>
                      <c:pt idx="31">
                        <c:v>44074</c:v>
                      </c:pt>
                      <c:pt idx="32">
                        <c:v>44104</c:v>
                      </c:pt>
                      <c:pt idx="33">
                        <c:v>44134</c:v>
                      </c:pt>
                      <c:pt idx="34">
                        <c:v>44165</c:v>
                      </c:pt>
                      <c:pt idx="35">
                        <c:v>44196</c:v>
                      </c:pt>
                      <c:pt idx="36">
                        <c:v>44225</c:v>
                      </c:pt>
                      <c:pt idx="37">
                        <c:v>44253</c:v>
                      </c:pt>
                      <c:pt idx="38">
                        <c:v>44286</c:v>
                      </c:pt>
                      <c:pt idx="39">
                        <c:v>44316</c:v>
                      </c:pt>
                      <c:pt idx="40">
                        <c:v>44344</c:v>
                      </c:pt>
                      <c:pt idx="41">
                        <c:v>44377</c:v>
                      </c:pt>
                      <c:pt idx="42">
                        <c:v>44407</c:v>
                      </c:pt>
                      <c:pt idx="43">
                        <c:v>44439</c:v>
                      </c:pt>
                      <c:pt idx="44">
                        <c:v>44469</c:v>
                      </c:pt>
                      <c:pt idx="45">
                        <c:v>44498</c:v>
                      </c:pt>
                      <c:pt idx="46">
                        <c:v>44530</c:v>
                      </c:pt>
                      <c:pt idx="47">
                        <c:v>44561</c:v>
                      </c:pt>
                      <c:pt idx="48">
                        <c:v>44592</c:v>
                      </c:pt>
                      <c:pt idx="49">
                        <c:v>44620</c:v>
                      </c:pt>
                      <c:pt idx="50">
                        <c:v>44651</c:v>
                      </c:pt>
                      <c:pt idx="51">
                        <c:v>44680</c:v>
                      </c:pt>
                      <c:pt idx="52">
                        <c:v>44712</c:v>
                      </c:pt>
                      <c:pt idx="53">
                        <c:v>44742</c:v>
                      </c:pt>
                      <c:pt idx="54">
                        <c:v>44771</c:v>
                      </c:pt>
                      <c:pt idx="55">
                        <c:v>44804</c:v>
                      </c:pt>
                      <c:pt idx="56">
                        <c:v>44834</c:v>
                      </c:pt>
                      <c:pt idx="57">
                        <c:v>44865</c:v>
                      </c:pt>
                      <c:pt idx="58">
                        <c:v>44895</c:v>
                      </c:pt>
                      <c:pt idx="59">
                        <c:v>44925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'Part2(a)'!$B$3:$B$62</c15:sqref>
                        </c15:formulaRef>
                      </c:ext>
                    </c:extLst>
                    <c:numCache>
                      <c:formatCode>0.0000</c:formatCode>
                      <c:ptCount val="60"/>
                      <c:pt idx="0">
                        <c:v>-1.75438596491229E-2</c:v>
                      </c:pt>
                      <c:pt idx="1">
                        <c:v>-0.198660714285714</c:v>
                      </c:pt>
                      <c:pt idx="2">
                        <c:v>-0.12116991643454</c:v>
                      </c:pt>
                      <c:pt idx="3">
                        <c:v>0.19255150554675099</c:v>
                      </c:pt>
                      <c:pt idx="4">
                        <c:v>-5.1827242524916897E-2</c:v>
                      </c:pt>
                      <c:pt idx="5">
                        <c:v>1.8220042046250801E-2</c:v>
                      </c:pt>
                      <c:pt idx="6">
                        <c:v>5.1617343427391701E-2</c:v>
                      </c:pt>
                      <c:pt idx="7">
                        <c:v>-0.10667539267015699</c:v>
                      </c:pt>
                      <c:pt idx="8">
                        <c:v>-0.13260073260073299</c:v>
                      </c:pt>
                      <c:pt idx="9">
                        <c:v>-0.19256756756756799</c:v>
                      </c:pt>
                      <c:pt idx="10">
                        <c:v>1.25523012552302E-2</c:v>
                      </c:pt>
                      <c:pt idx="11">
                        <c:v>-0.34710743801652899</c:v>
                      </c:pt>
                      <c:pt idx="12">
                        <c:v>0.34493670886076</c:v>
                      </c:pt>
                      <c:pt idx="13">
                        <c:v>0.185882352941176</c:v>
                      </c:pt>
                      <c:pt idx="14">
                        <c:v>0.192460317460317</c:v>
                      </c:pt>
                      <c:pt idx="15">
                        <c:v>-4.15973377703827E-2</c:v>
                      </c:pt>
                      <c:pt idx="16">
                        <c:v>-7.1180555555555594E-2</c:v>
                      </c:pt>
                      <c:pt idx="17">
                        <c:v>8.5046728971962499E-2</c:v>
                      </c:pt>
                      <c:pt idx="18">
                        <c:v>-0.124031007751938</c:v>
                      </c:pt>
                      <c:pt idx="19">
                        <c:v>-0.1976401179941</c:v>
                      </c:pt>
                      <c:pt idx="20">
                        <c:v>6.1274509803921601E-2</c:v>
                      </c:pt>
                      <c:pt idx="21">
                        <c:v>-0.122401847575058</c:v>
                      </c:pt>
                      <c:pt idx="22">
                        <c:v>1.05263157894737E-2</c:v>
                      </c:pt>
                      <c:pt idx="23">
                        <c:v>0.20833333333333301</c:v>
                      </c:pt>
                      <c:pt idx="24">
                        <c:v>-0.25</c:v>
                      </c:pt>
                      <c:pt idx="25">
                        <c:v>-6.6091954022988494E-2</c:v>
                      </c:pt>
                      <c:pt idx="26">
                        <c:v>-0.50307692307692298</c:v>
                      </c:pt>
                      <c:pt idx="27">
                        <c:v>0.48606811145510798</c:v>
                      </c:pt>
                      <c:pt idx="28">
                        <c:v>0.23749999999999999</c:v>
                      </c:pt>
                      <c:pt idx="29">
                        <c:v>-0.17508417508417501</c:v>
                      </c:pt>
                      <c:pt idx="30">
                        <c:v>-9.3877551020408206E-2</c:v>
                      </c:pt>
                      <c:pt idx="31">
                        <c:v>7.4324324324324301E-2</c:v>
                      </c:pt>
                      <c:pt idx="32">
                        <c:v>-0.19496855345911901</c:v>
                      </c:pt>
                      <c:pt idx="33">
                        <c:v>-0.21354166666666699</c:v>
                      </c:pt>
                      <c:pt idx="34">
                        <c:v>0.40066225165562902</c:v>
                      </c:pt>
                      <c:pt idx="35">
                        <c:v>-3.07328605200946E-2</c:v>
                      </c:pt>
                      <c:pt idx="36">
                        <c:v>0.224390243902439</c:v>
                      </c:pt>
                      <c:pt idx="37">
                        <c:v>0.25896414342629498</c:v>
                      </c:pt>
                      <c:pt idx="38">
                        <c:v>-0.212025316455696</c:v>
                      </c:pt>
                      <c:pt idx="39">
                        <c:v>-3.0120481927710899E-2</c:v>
                      </c:pt>
                      <c:pt idx="40">
                        <c:v>0.175983436853002</c:v>
                      </c:pt>
                      <c:pt idx="41">
                        <c:v>6.3380281690140802E-2</c:v>
                      </c:pt>
                      <c:pt idx="42">
                        <c:v>-1.4900662251655599E-2</c:v>
                      </c:pt>
                      <c:pt idx="43">
                        <c:v>-0.10084033613445401</c:v>
                      </c:pt>
                      <c:pt idx="44">
                        <c:v>-2.9906542056074799E-2</c:v>
                      </c:pt>
                      <c:pt idx="45">
                        <c:v>0.15799614643545301</c:v>
                      </c:pt>
                      <c:pt idx="46">
                        <c:v>-4.6589018302828702E-2</c:v>
                      </c:pt>
                      <c:pt idx="47">
                        <c:v>8.7260034904014003E-2</c:v>
                      </c:pt>
                      <c:pt idx="48">
                        <c:v>7.0626003210272806E-2</c:v>
                      </c:pt>
                      <c:pt idx="49">
                        <c:v>0.24137931034482801</c:v>
                      </c:pt>
                      <c:pt idx="50">
                        <c:v>3.50241545893719E-2</c:v>
                      </c:pt>
                      <c:pt idx="51">
                        <c:v>-9.4515752625437502E-2</c:v>
                      </c:pt>
                      <c:pt idx="52">
                        <c:v>9.1494845360824598E-2</c:v>
                      </c:pt>
                      <c:pt idx="53">
                        <c:v>-0.19480519480519501</c:v>
                      </c:pt>
                      <c:pt idx="54">
                        <c:v>9.5307917888563007E-2</c:v>
                      </c:pt>
                      <c:pt idx="55">
                        <c:v>-4.8192771084337303E-2</c:v>
                      </c:pt>
                      <c:pt idx="56">
                        <c:v>-1.9690576652602002E-2</c:v>
                      </c:pt>
                      <c:pt idx="57">
                        <c:v>0.38450502152080301</c:v>
                      </c:pt>
                      <c:pt idx="58">
                        <c:v>-0.14678574771629799</c:v>
                      </c:pt>
                      <c:pt idx="59">
                        <c:v>0.128205128205128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58A4-4931-9BFC-139A01E5B0F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'Part2(a)'!$D$2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'Part2(a)'!$A$3:$A$62</c15:sqref>
                        </c15:formulaRef>
                      </c:ext>
                    </c:extLst>
                    <c:numCache>
                      <c:formatCode>m/d/yyyy</c:formatCode>
                      <c:ptCount val="60"/>
                      <c:pt idx="0">
                        <c:v>43131</c:v>
                      </c:pt>
                      <c:pt idx="1">
                        <c:v>43159</c:v>
                      </c:pt>
                      <c:pt idx="2">
                        <c:v>43188</c:v>
                      </c:pt>
                      <c:pt idx="3">
                        <c:v>43220</c:v>
                      </c:pt>
                      <c:pt idx="4">
                        <c:v>43251</c:v>
                      </c:pt>
                      <c:pt idx="5">
                        <c:v>43280</c:v>
                      </c:pt>
                      <c:pt idx="6">
                        <c:v>43312</c:v>
                      </c:pt>
                      <c:pt idx="7">
                        <c:v>43343</c:v>
                      </c:pt>
                      <c:pt idx="8">
                        <c:v>43371</c:v>
                      </c:pt>
                      <c:pt idx="9">
                        <c:v>43404</c:v>
                      </c:pt>
                      <c:pt idx="10">
                        <c:v>43434</c:v>
                      </c:pt>
                      <c:pt idx="11">
                        <c:v>43465</c:v>
                      </c:pt>
                      <c:pt idx="12">
                        <c:v>43496</c:v>
                      </c:pt>
                      <c:pt idx="13">
                        <c:v>43524</c:v>
                      </c:pt>
                      <c:pt idx="14">
                        <c:v>43553</c:v>
                      </c:pt>
                      <c:pt idx="15">
                        <c:v>43585</c:v>
                      </c:pt>
                      <c:pt idx="16">
                        <c:v>43616</c:v>
                      </c:pt>
                      <c:pt idx="17">
                        <c:v>43644</c:v>
                      </c:pt>
                      <c:pt idx="18">
                        <c:v>43677</c:v>
                      </c:pt>
                      <c:pt idx="19">
                        <c:v>43707</c:v>
                      </c:pt>
                      <c:pt idx="20">
                        <c:v>43738</c:v>
                      </c:pt>
                      <c:pt idx="21">
                        <c:v>43769</c:v>
                      </c:pt>
                      <c:pt idx="22">
                        <c:v>43798</c:v>
                      </c:pt>
                      <c:pt idx="23">
                        <c:v>43830</c:v>
                      </c:pt>
                      <c:pt idx="24">
                        <c:v>43861</c:v>
                      </c:pt>
                      <c:pt idx="25">
                        <c:v>43889</c:v>
                      </c:pt>
                      <c:pt idx="26">
                        <c:v>43921</c:v>
                      </c:pt>
                      <c:pt idx="27">
                        <c:v>43951</c:v>
                      </c:pt>
                      <c:pt idx="28">
                        <c:v>43980</c:v>
                      </c:pt>
                      <c:pt idx="29">
                        <c:v>44012</c:v>
                      </c:pt>
                      <c:pt idx="30">
                        <c:v>44043</c:v>
                      </c:pt>
                      <c:pt idx="31">
                        <c:v>44074</c:v>
                      </c:pt>
                      <c:pt idx="32">
                        <c:v>44104</c:v>
                      </c:pt>
                      <c:pt idx="33">
                        <c:v>44134</c:v>
                      </c:pt>
                      <c:pt idx="34">
                        <c:v>44165</c:v>
                      </c:pt>
                      <c:pt idx="35">
                        <c:v>44196</c:v>
                      </c:pt>
                      <c:pt idx="36">
                        <c:v>44225</c:v>
                      </c:pt>
                      <c:pt idx="37">
                        <c:v>44253</c:v>
                      </c:pt>
                      <c:pt idx="38">
                        <c:v>44286</c:v>
                      </c:pt>
                      <c:pt idx="39">
                        <c:v>44316</c:v>
                      </c:pt>
                      <c:pt idx="40">
                        <c:v>44344</c:v>
                      </c:pt>
                      <c:pt idx="41">
                        <c:v>44377</c:v>
                      </c:pt>
                      <c:pt idx="42">
                        <c:v>44407</c:v>
                      </c:pt>
                      <c:pt idx="43">
                        <c:v>44439</c:v>
                      </c:pt>
                      <c:pt idx="44">
                        <c:v>44469</c:v>
                      </c:pt>
                      <c:pt idx="45">
                        <c:v>44498</c:v>
                      </c:pt>
                      <c:pt idx="46">
                        <c:v>44530</c:v>
                      </c:pt>
                      <c:pt idx="47">
                        <c:v>44561</c:v>
                      </c:pt>
                      <c:pt idx="48">
                        <c:v>44592</c:v>
                      </c:pt>
                      <c:pt idx="49">
                        <c:v>44620</c:v>
                      </c:pt>
                      <c:pt idx="50">
                        <c:v>44651</c:v>
                      </c:pt>
                      <c:pt idx="51">
                        <c:v>44680</c:v>
                      </c:pt>
                      <c:pt idx="52">
                        <c:v>44712</c:v>
                      </c:pt>
                      <c:pt idx="53">
                        <c:v>44742</c:v>
                      </c:pt>
                      <c:pt idx="54">
                        <c:v>44771</c:v>
                      </c:pt>
                      <c:pt idx="55">
                        <c:v>44804</c:v>
                      </c:pt>
                      <c:pt idx="56">
                        <c:v>44834</c:v>
                      </c:pt>
                      <c:pt idx="57">
                        <c:v>44865</c:v>
                      </c:pt>
                      <c:pt idx="58">
                        <c:v>44895</c:v>
                      </c:pt>
                      <c:pt idx="59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'Part2(a)'!$D$3:$D$62</c15:sqref>
                        </c15:formulaRef>
                      </c:ext>
                    </c:extLst>
                    <c:numCache>
                      <c:formatCode>0.0000</c:formatCode>
                      <c:ptCount val="60"/>
                      <c:pt idx="0">
                        <c:v>-1.5247776365946653E-2</c:v>
                      </c:pt>
                      <c:pt idx="1">
                        <c:v>-0.12774193548387092</c:v>
                      </c:pt>
                      <c:pt idx="2">
                        <c:v>-6.8786982248520645E-2</c:v>
                      </c:pt>
                      <c:pt idx="3">
                        <c:v>7.6648133439237487E-2</c:v>
                      </c:pt>
                      <c:pt idx="4">
                        <c:v>0.1763187015861305</c:v>
                      </c:pt>
                      <c:pt idx="5">
                        <c:v>0.13389777359673882</c:v>
                      </c:pt>
                      <c:pt idx="6">
                        <c:v>-0.14048672566371678</c:v>
                      </c:pt>
                      <c:pt idx="7">
                        <c:v>0.12387387387387383</c:v>
                      </c:pt>
                      <c:pt idx="8">
                        <c:v>-5.2390495276266824E-2</c:v>
                      </c:pt>
                      <c:pt idx="9">
                        <c:v>-0.22326283987915407</c:v>
                      </c:pt>
                      <c:pt idx="10">
                        <c:v>0.16919486581096854</c:v>
                      </c:pt>
                      <c:pt idx="11">
                        <c:v>-0.11144377910844971</c:v>
                      </c:pt>
                      <c:pt idx="12">
                        <c:v>0.20516660426806443</c:v>
                      </c:pt>
                      <c:pt idx="13">
                        <c:v>0.1335818577197887</c:v>
                      </c:pt>
                      <c:pt idx="14">
                        <c:v>-5.6453822965195966E-2</c:v>
                      </c:pt>
                      <c:pt idx="15">
                        <c:v>4.821376706360736E-2</c:v>
                      </c:pt>
                      <c:pt idx="16">
                        <c:v>1.1083402604599168E-3</c:v>
                      </c:pt>
                      <c:pt idx="17">
                        <c:v>-1.6606698034874467E-3</c:v>
                      </c:pt>
                      <c:pt idx="18">
                        <c:v>8.9270862212364799E-2</c:v>
                      </c:pt>
                      <c:pt idx="19">
                        <c:v>0.51361669636039697</c:v>
                      </c:pt>
                      <c:pt idx="20">
                        <c:v>-0.20127795527156556</c:v>
                      </c:pt>
                      <c:pt idx="21">
                        <c:v>-6.0210526315789492E-2</c:v>
                      </c:pt>
                      <c:pt idx="22">
                        <c:v>-3.4946236559139754E-2</c:v>
                      </c:pt>
                      <c:pt idx="23">
                        <c:v>-0.11304549675023212</c:v>
                      </c:pt>
                      <c:pt idx="24">
                        <c:v>0.335775974875687</c:v>
                      </c:pt>
                      <c:pt idx="25">
                        <c:v>-0.13499216300940442</c:v>
                      </c:pt>
                      <c:pt idx="26">
                        <c:v>-8.8788221970554915E-2</c:v>
                      </c:pt>
                      <c:pt idx="27">
                        <c:v>0.13522247079294059</c:v>
                      </c:pt>
                      <c:pt idx="28">
                        <c:v>0.24720823297569527</c:v>
                      </c:pt>
                      <c:pt idx="29">
                        <c:v>-0.1002457865168539</c:v>
                      </c:pt>
                      <c:pt idx="30">
                        <c:v>-7.41463414634147E-3</c:v>
                      </c:pt>
                      <c:pt idx="31">
                        <c:v>0.20385295852172214</c:v>
                      </c:pt>
                      <c:pt idx="32">
                        <c:v>5.7315480078380165E-2</c:v>
                      </c:pt>
                      <c:pt idx="33">
                        <c:v>-2.2393822393822371E-2</c:v>
                      </c:pt>
                      <c:pt idx="34">
                        <c:v>1.2116903633491312</c:v>
                      </c:pt>
                      <c:pt idx="35">
                        <c:v>0.1577857142857142</c:v>
                      </c:pt>
                      <c:pt idx="36">
                        <c:v>0.34776975754210615</c:v>
                      </c:pt>
                      <c:pt idx="37">
                        <c:v>-0.21312826146663</c:v>
                      </c:pt>
                      <c:pt idx="38">
                        <c:v>-0.22658522396742287</c:v>
                      </c:pt>
                      <c:pt idx="39">
                        <c:v>-8.8529522376833425E-2</c:v>
                      </c:pt>
                      <c:pt idx="40">
                        <c:v>-0.25334213566595143</c:v>
                      </c:pt>
                      <c:pt idx="41">
                        <c:v>0.52243589743589736</c:v>
                      </c:pt>
                      <c:pt idx="42">
                        <c:v>-0.15477313974591655</c:v>
                      </c:pt>
                      <c:pt idx="43">
                        <c:v>-7.9275100919007135E-2</c:v>
                      </c:pt>
                      <c:pt idx="44">
                        <c:v>-0.13703358208955219</c:v>
                      </c:pt>
                      <c:pt idx="45">
                        <c:v>7.4586531185817817E-2</c:v>
                      </c:pt>
                      <c:pt idx="46">
                        <c:v>-0.25208731515944072</c:v>
                      </c:pt>
                      <c:pt idx="47">
                        <c:v>-0.12293207800941497</c:v>
                      </c:pt>
                      <c:pt idx="48">
                        <c:v>-0.13556203036344117</c:v>
                      </c:pt>
                      <c:pt idx="49">
                        <c:v>8.1426290580095761E-2</c:v>
                      </c:pt>
                      <c:pt idx="50">
                        <c:v>-2.2965879265092193E-3</c:v>
                      </c:pt>
                      <c:pt idx="51">
                        <c:v>-0.21407431765866491</c:v>
                      </c:pt>
                      <c:pt idx="52">
                        <c:v>-6.27615062761544E-4</c:v>
                      </c:pt>
                      <c:pt idx="53">
                        <c:v>-8.582792547624063E-3</c:v>
                      </c:pt>
                      <c:pt idx="54">
                        <c:v>2.4704391891891886E-2</c:v>
                      </c:pt>
                      <c:pt idx="55">
                        <c:v>-3.3587471667010038E-2</c:v>
                      </c:pt>
                      <c:pt idx="56">
                        <c:v>-0.1294243070362473</c:v>
                      </c:pt>
                      <c:pt idx="57">
                        <c:v>0.19568944403624777</c:v>
                      </c:pt>
                      <c:pt idx="58">
                        <c:v>-0.22101597705858256</c:v>
                      </c:pt>
                      <c:pt idx="59">
                        <c:v>-0.14383381540888773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8A4-4931-9BFC-139A01E5B0FF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'Part2(a)'!$E$2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'Part2(a)'!$A$3:$A$62</c15:sqref>
                        </c15:formulaRef>
                      </c:ext>
                    </c:extLst>
                    <c:numCache>
                      <c:formatCode>m/d/yyyy</c:formatCode>
                      <c:ptCount val="60"/>
                      <c:pt idx="0">
                        <c:v>43131</c:v>
                      </c:pt>
                      <c:pt idx="1">
                        <c:v>43159</c:v>
                      </c:pt>
                      <c:pt idx="2">
                        <c:v>43188</c:v>
                      </c:pt>
                      <c:pt idx="3">
                        <c:v>43220</c:v>
                      </c:pt>
                      <c:pt idx="4">
                        <c:v>43251</c:v>
                      </c:pt>
                      <c:pt idx="5">
                        <c:v>43280</c:v>
                      </c:pt>
                      <c:pt idx="6">
                        <c:v>43312</c:v>
                      </c:pt>
                      <c:pt idx="7">
                        <c:v>43343</c:v>
                      </c:pt>
                      <c:pt idx="8">
                        <c:v>43371</c:v>
                      </c:pt>
                      <c:pt idx="9">
                        <c:v>43404</c:v>
                      </c:pt>
                      <c:pt idx="10">
                        <c:v>43434</c:v>
                      </c:pt>
                      <c:pt idx="11">
                        <c:v>43465</c:v>
                      </c:pt>
                      <c:pt idx="12">
                        <c:v>43496</c:v>
                      </c:pt>
                      <c:pt idx="13">
                        <c:v>43524</c:v>
                      </c:pt>
                      <c:pt idx="14">
                        <c:v>43553</c:v>
                      </c:pt>
                      <c:pt idx="15">
                        <c:v>43585</c:v>
                      </c:pt>
                      <c:pt idx="16">
                        <c:v>43616</c:v>
                      </c:pt>
                      <c:pt idx="17">
                        <c:v>43644</c:v>
                      </c:pt>
                      <c:pt idx="18">
                        <c:v>43677</c:v>
                      </c:pt>
                      <c:pt idx="19">
                        <c:v>43707</c:v>
                      </c:pt>
                      <c:pt idx="20">
                        <c:v>43738</c:v>
                      </c:pt>
                      <c:pt idx="21">
                        <c:v>43769</c:v>
                      </c:pt>
                      <c:pt idx="22">
                        <c:v>43798</c:v>
                      </c:pt>
                      <c:pt idx="23">
                        <c:v>43830</c:v>
                      </c:pt>
                      <c:pt idx="24">
                        <c:v>43861</c:v>
                      </c:pt>
                      <c:pt idx="25">
                        <c:v>43889</c:v>
                      </c:pt>
                      <c:pt idx="26">
                        <c:v>43921</c:v>
                      </c:pt>
                      <c:pt idx="27">
                        <c:v>43951</c:v>
                      </c:pt>
                      <c:pt idx="28">
                        <c:v>43980</c:v>
                      </c:pt>
                      <c:pt idx="29">
                        <c:v>44012</c:v>
                      </c:pt>
                      <c:pt idx="30">
                        <c:v>44043</c:v>
                      </c:pt>
                      <c:pt idx="31">
                        <c:v>44074</c:v>
                      </c:pt>
                      <c:pt idx="32">
                        <c:v>44104</c:v>
                      </c:pt>
                      <c:pt idx="33">
                        <c:v>44134</c:v>
                      </c:pt>
                      <c:pt idx="34">
                        <c:v>44165</c:v>
                      </c:pt>
                      <c:pt idx="35">
                        <c:v>44196</c:v>
                      </c:pt>
                      <c:pt idx="36">
                        <c:v>44225</c:v>
                      </c:pt>
                      <c:pt idx="37">
                        <c:v>44253</c:v>
                      </c:pt>
                      <c:pt idx="38">
                        <c:v>44286</c:v>
                      </c:pt>
                      <c:pt idx="39">
                        <c:v>44316</c:v>
                      </c:pt>
                      <c:pt idx="40">
                        <c:v>44344</c:v>
                      </c:pt>
                      <c:pt idx="41">
                        <c:v>44377</c:v>
                      </c:pt>
                      <c:pt idx="42">
                        <c:v>44407</c:v>
                      </c:pt>
                      <c:pt idx="43">
                        <c:v>44439</c:v>
                      </c:pt>
                      <c:pt idx="44">
                        <c:v>44469</c:v>
                      </c:pt>
                      <c:pt idx="45">
                        <c:v>44498</c:v>
                      </c:pt>
                      <c:pt idx="46">
                        <c:v>44530</c:v>
                      </c:pt>
                      <c:pt idx="47">
                        <c:v>44561</c:v>
                      </c:pt>
                      <c:pt idx="48">
                        <c:v>44592</c:v>
                      </c:pt>
                      <c:pt idx="49">
                        <c:v>44620</c:v>
                      </c:pt>
                      <c:pt idx="50">
                        <c:v>44651</c:v>
                      </c:pt>
                      <c:pt idx="51">
                        <c:v>44680</c:v>
                      </c:pt>
                      <c:pt idx="52">
                        <c:v>44712</c:v>
                      </c:pt>
                      <c:pt idx="53">
                        <c:v>44742</c:v>
                      </c:pt>
                      <c:pt idx="54">
                        <c:v>44771</c:v>
                      </c:pt>
                      <c:pt idx="55">
                        <c:v>44804</c:v>
                      </c:pt>
                      <c:pt idx="56">
                        <c:v>44834</c:v>
                      </c:pt>
                      <c:pt idx="57">
                        <c:v>44865</c:v>
                      </c:pt>
                      <c:pt idx="58">
                        <c:v>44895</c:v>
                      </c:pt>
                      <c:pt idx="59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'Part2(a)'!$E$3:$E$62</c15:sqref>
                        </c15:formulaRef>
                      </c:ext>
                    </c:extLst>
                    <c:numCache>
                      <c:formatCode>0.0000</c:formatCode>
                      <c:ptCount val="60"/>
                      <c:pt idx="0">
                        <c:v>-2.1276595744680882E-2</c:v>
                      </c:pt>
                      <c:pt idx="1">
                        <c:v>-2.1014492753623215E-2</c:v>
                      </c:pt>
                      <c:pt idx="2">
                        <c:v>5.551443375277576E-2</c:v>
                      </c:pt>
                      <c:pt idx="3">
                        <c:v>-6.7321178120617109E-2</c:v>
                      </c:pt>
                      <c:pt idx="4">
                        <c:v>-0.16090225563909777</c:v>
                      </c:pt>
                      <c:pt idx="5">
                        <c:v>8.0645161290322509E-3</c:v>
                      </c:pt>
                      <c:pt idx="6">
                        <c:v>-5.3333333333333011E-3</c:v>
                      </c:pt>
                      <c:pt idx="7">
                        <c:v>-2.2341376228775744E-2</c:v>
                      </c:pt>
                      <c:pt idx="8">
                        <c:v>-0.13985374771480807</c:v>
                      </c:pt>
                      <c:pt idx="9">
                        <c:v>-0.19234856535600431</c:v>
                      </c:pt>
                      <c:pt idx="10">
                        <c:v>9.2105263157895578E-3</c:v>
                      </c:pt>
                      <c:pt idx="11">
                        <c:v>-9.5176010430247704E-2</c:v>
                      </c:pt>
                      <c:pt idx="12">
                        <c:v>0.10518731988472618</c:v>
                      </c:pt>
                      <c:pt idx="13">
                        <c:v>2.0860495436766602E-2</c:v>
                      </c:pt>
                      <c:pt idx="14">
                        <c:v>-7.9182630906768803E-2</c:v>
                      </c:pt>
                      <c:pt idx="15">
                        <c:v>0.18030513176144236</c:v>
                      </c:pt>
                      <c:pt idx="16">
                        <c:v>-8.8131609870740313E-2</c:v>
                      </c:pt>
                      <c:pt idx="17">
                        <c:v>-3.0927835051546393E-2</c:v>
                      </c:pt>
                      <c:pt idx="18">
                        <c:v>3.8563829787233939E-2</c:v>
                      </c:pt>
                      <c:pt idx="19">
                        <c:v>-0.1011523687580026</c:v>
                      </c:pt>
                      <c:pt idx="20">
                        <c:v>6.8376068376068355E-2</c:v>
                      </c:pt>
                      <c:pt idx="21">
                        <c:v>-0.1186666666666667</c:v>
                      </c:pt>
                      <c:pt idx="22">
                        <c:v>6.35400907715582E-2</c:v>
                      </c:pt>
                      <c:pt idx="23">
                        <c:v>-1.1379800853485111E-2</c:v>
                      </c:pt>
                      <c:pt idx="24">
                        <c:v>0.16690647482014387</c:v>
                      </c:pt>
                      <c:pt idx="25">
                        <c:v>-7.644882860665847E-2</c:v>
                      </c:pt>
                      <c:pt idx="26">
                        <c:v>-0.32309746328437916</c:v>
                      </c:pt>
                      <c:pt idx="27">
                        <c:v>0.11242603550295849</c:v>
                      </c:pt>
                      <c:pt idx="28">
                        <c:v>-0.11170212765957444</c:v>
                      </c:pt>
                      <c:pt idx="29">
                        <c:v>-8.1836327345309434E-2</c:v>
                      </c:pt>
                      <c:pt idx="30">
                        <c:v>4.3478260869565188E-2</c:v>
                      </c:pt>
                      <c:pt idx="31">
                        <c:v>8.3333333333333259E-2</c:v>
                      </c:pt>
                      <c:pt idx="32">
                        <c:v>-0.19807692307692304</c:v>
                      </c:pt>
                      <c:pt idx="33">
                        <c:v>4.7961630695443347E-3</c:v>
                      </c:pt>
                      <c:pt idx="34">
                        <c:v>0.34606205250596656</c:v>
                      </c:pt>
                      <c:pt idx="35">
                        <c:v>-3.1914893617021267E-2</c:v>
                      </c:pt>
                      <c:pt idx="36">
                        <c:v>0.15384615384615374</c:v>
                      </c:pt>
                      <c:pt idx="37">
                        <c:v>4.1269841269841345E-2</c:v>
                      </c:pt>
                      <c:pt idx="38">
                        <c:v>0.15243902439024382</c:v>
                      </c:pt>
                      <c:pt idx="39">
                        <c:v>-5.0264550264550234E-2</c:v>
                      </c:pt>
                      <c:pt idx="40">
                        <c:v>0.11699164345403901</c:v>
                      </c:pt>
                      <c:pt idx="41">
                        <c:v>7.4812967581048273E-3</c:v>
                      </c:pt>
                      <c:pt idx="42">
                        <c:v>3.5891089108910812E-2</c:v>
                      </c:pt>
                      <c:pt idx="43">
                        <c:v>-4.5400238948625993E-2</c:v>
                      </c:pt>
                      <c:pt idx="44">
                        <c:v>-2.0025031289111372E-2</c:v>
                      </c:pt>
                      <c:pt idx="45">
                        <c:v>-6.0025542784163499E-2</c:v>
                      </c:pt>
                      <c:pt idx="46">
                        <c:v>-0.26766304347826086</c:v>
                      </c:pt>
                      <c:pt idx="47">
                        <c:v>0.2133580705009277</c:v>
                      </c:pt>
                      <c:pt idx="48">
                        <c:v>-0.11467889908256879</c:v>
                      </c:pt>
                      <c:pt idx="49">
                        <c:v>2.2452504317789224E-2</c:v>
                      </c:pt>
                      <c:pt idx="50">
                        <c:v>3.2094594594594517E-2</c:v>
                      </c:pt>
                      <c:pt idx="51">
                        <c:v>-4.2553191489361653E-2</c:v>
                      </c:pt>
                      <c:pt idx="52">
                        <c:v>-0.16923076923076918</c:v>
                      </c:pt>
                      <c:pt idx="53">
                        <c:v>-0.19547325102880664</c:v>
                      </c:pt>
                      <c:pt idx="54">
                        <c:v>7.9283887468030612E-2</c:v>
                      </c:pt>
                      <c:pt idx="55">
                        <c:v>-0.13507109004739337</c:v>
                      </c:pt>
                      <c:pt idx="56">
                        <c:v>-0.28767123287671237</c:v>
                      </c:pt>
                      <c:pt idx="57">
                        <c:v>-0.12307692307692308</c:v>
                      </c:pt>
                      <c:pt idx="58">
                        <c:v>-5.2631578947368474E-2</c:v>
                      </c:pt>
                      <c:pt idx="59">
                        <c:v>7.870370370370372E-2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8A4-4931-9BFC-139A01E5B0FF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'Part2(a)'!$F$2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'Part2(a)'!$A$3:$A$62</c15:sqref>
                        </c15:formulaRef>
                      </c:ext>
                    </c:extLst>
                    <c:numCache>
                      <c:formatCode>m/d/yyyy</c:formatCode>
                      <c:ptCount val="60"/>
                      <c:pt idx="0">
                        <c:v>43131</c:v>
                      </c:pt>
                      <c:pt idx="1">
                        <c:v>43159</c:v>
                      </c:pt>
                      <c:pt idx="2">
                        <c:v>43188</c:v>
                      </c:pt>
                      <c:pt idx="3">
                        <c:v>43220</c:v>
                      </c:pt>
                      <c:pt idx="4">
                        <c:v>43251</c:v>
                      </c:pt>
                      <c:pt idx="5">
                        <c:v>43280</c:v>
                      </c:pt>
                      <c:pt idx="6">
                        <c:v>43312</c:v>
                      </c:pt>
                      <c:pt idx="7">
                        <c:v>43343</c:v>
                      </c:pt>
                      <c:pt idx="8">
                        <c:v>43371</c:v>
                      </c:pt>
                      <c:pt idx="9">
                        <c:v>43404</c:v>
                      </c:pt>
                      <c:pt idx="10">
                        <c:v>43434</c:v>
                      </c:pt>
                      <c:pt idx="11">
                        <c:v>43465</c:v>
                      </c:pt>
                      <c:pt idx="12">
                        <c:v>43496</c:v>
                      </c:pt>
                      <c:pt idx="13">
                        <c:v>43524</c:v>
                      </c:pt>
                      <c:pt idx="14">
                        <c:v>43553</c:v>
                      </c:pt>
                      <c:pt idx="15">
                        <c:v>43585</c:v>
                      </c:pt>
                      <c:pt idx="16">
                        <c:v>43616</c:v>
                      </c:pt>
                      <c:pt idx="17">
                        <c:v>43644</c:v>
                      </c:pt>
                      <c:pt idx="18">
                        <c:v>43677</c:v>
                      </c:pt>
                      <c:pt idx="19">
                        <c:v>43707</c:v>
                      </c:pt>
                      <c:pt idx="20">
                        <c:v>43738</c:v>
                      </c:pt>
                      <c:pt idx="21">
                        <c:v>43769</c:v>
                      </c:pt>
                      <c:pt idx="22">
                        <c:v>43798</c:v>
                      </c:pt>
                      <c:pt idx="23">
                        <c:v>43830</c:v>
                      </c:pt>
                      <c:pt idx="24">
                        <c:v>43861</c:v>
                      </c:pt>
                      <c:pt idx="25">
                        <c:v>43889</c:v>
                      </c:pt>
                      <c:pt idx="26">
                        <c:v>43921</c:v>
                      </c:pt>
                      <c:pt idx="27">
                        <c:v>43951</c:v>
                      </c:pt>
                      <c:pt idx="28">
                        <c:v>43980</c:v>
                      </c:pt>
                      <c:pt idx="29">
                        <c:v>44012</c:v>
                      </c:pt>
                      <c:pt idx="30">
                        <c:v>44043</c:v>
                      </c:pt>
                      <c:pt idx="31">
                        <c:v>44074</c:v>
                      </c:pt>
                      <c:pt idx="32">
                        <c:v>44104</c:v>
                      </c:pt>
                      <c:pt idx="33">
                        <c:v>44134</c:v>
                      </c:pt>
                      <c:pt idx="34">
                        <c:v>44165</c:v>
                      </c:pt>
                      <c:pt idx="35">
                        <c:v>44196</c:v>
                      </c:pt>
                      <c:pt idx="36">
                        <c:v>44225</c:v>
                      </c:pt>
                      <c:pt idx="37">
                        <c:v>44253</c:v>
                      </c:pt>
                      <c:pt idx="38">
                        <c:v>44286</c:v>
                      </c:pt>
                      <c:pt idx="39">
                        <c:v>44316</c:v>
                      </c:pt>
                      <c:pt idx="40">
                        <c:v>44344</c:v>
                      </c:pt>
                      <c:pt idx="41">
                        <c:v>44377</c:v>
                      </c:pt>
                      <c:pt idx="42">
                        <c:v>44407</c:v>
                      </c:pt>
                      <c:pt idx="43">
                        <c:v>44439</c:v>
                      </c:pt>
                      <c:pt idx="44">
                        <c:v>44469</c:v>
                      </c:pt>
                      <c:pt idx="45">
                        <c:v>44498</c:v>
                      </c:pt>
                      <c:pt idx="46">
                        <c:v>44530</c:v>
                      </c:pt>
                      <c:pt idx="47">
                        <c:v>44561</c:v>
                      </c:pt>
                      <c:pt idx="48">
                        <c:v>44592</c:v>
                      </c:pt>
                      <c:pt idx="49">
                        <c:v>44620</c:v>
                      </c:pt>
                      <c:pt idx="50">
                        <c:v>44651</c:v>
                      </c:pt>
                      <c:pt idx="51">
                        <c:v>44680</c:v>
                      </c:pt>
                      <c:pt idx="52">
                        <c:v>44712</c:v>
                      </c:pt>
                      <c:pt idx="53">
                        <c:v>44742</c:v>
                      </c:pt>
                      <c:pt idx="54">
                        <c:v>44771</c:v>
                      </c:pt>
                      <c:pt idx="55">
                        <c:v>44804</c:v>
                      </c:pt>
                      <c:pt idx="56">
                        <c:v>44834</c:v>
                      </c:pt>
                      <c:pt idx="57">
                        <c:v>44865</c:v>
                      </c:pt>
                      <c:pt idx="58">
                        <c:v>44895</c:v>
                      </c:pt>
                      <c:pt idx="59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'Part2(a)'!$F$3:$F$62</c15:sqref>
                        </c15:formulaRef>
                      </c:ext>
                    </c:extLst>
                    <c:numCache>
                      <c:formatCode>0.0000</c:formatCode>
                      <c:ptCount val="60"/>
                      <c:pt idx="0">
                        <c:v>-0.11863615133115368</c:v>
                      </c:pt>
                      <c:pt idx="1">
                        <c:v>-0.10810810810810811</c:v>
                      </c:pt>
                      <c:pt idx="2">
                        <c:v>-1.6042780748663166E-2</c:v>
                      </c:pt>
                      <c:pt idx="3">
                        <c:v>0.13526570048309172</c:v>
                      </c:pt>
                      <c:pt idx="4">
                        <c:v>-0.17872340425531918</c:v>
                      </c:pt>
                      <c:pt idx="5">
                        <c:v>-7.4481865284974136E-2</c:v>
                      </c:pt>
                      <c:pt idx="6">
                        <c:v>9.7970608817354865E-2</c:v>
                      </c:pt>
                      <c:pt idx="7">
                        <c:v>9.7514340344168282E-2</c:v>
                      </c:pt>
                      <c:pt idx="8">
                        <c:v>9.6980255516840863E-2</c:v>
                      </c:pt>
                      <c:pt idx="9">
                        <c:v>-0.30121757543673899</c:v>
                      </c:pt>
                      <c:pt idx="10">
                        <c:v>-5.3030303030303649E-3</c:v>
                      </c:pt>
                      <c:pt idx="11">
                        <c:v>-7.1534653465346487E-2</c:v>
                      </c:pt>
                      <c:pt idx="12">
                        <c:v>0.24400330851943752</c:v>
                      </c:pt>
                      <c:pt idx="13">
                        <c:v>0.13031914893617014</c:v>
                      </c:pt>
                      <c:pt idx="14">
                        <c:v>-2.7245894824360795E-2</c:v>
                      </c:pt>
                      <c:pt idx="15">
                        <c:v>3.345498783454981E-2</c:v>
                      </c:pt>
                      <c:pt idx="16">
                        <c:v>-0.16244849911712778</c:v>
                      </c:pt>
                      <c:pt idx="17">
                        <c:v>5.9654103147489757E-2</c:v>
                      </c:pt>
                      <c:pt idx="18">
                        <c:v>-4.4726301735647511E-2</c:v>
                      </c:pt>
                      <c:pt idx="19">
                        <c:v>-3.9133473095737226E-2</c:v>
                      </c:pt>
                      <c:pt idx="20">
                        <c:v>-1.6566641279512573E-2</c:v>
                      </c:pt>
                      <c:pt idx="21">
                        <c:v>-0.20715350223546947</c:v>
                      </c:pt>
                      <c:pt idx="22">
                        <c:v>8.4586466165412766E-3</c:v>
                      </c:pt>
                      <c:pt idx="23">
                        <c:v>0.31517120896955686</c:v>
                      </c:pt>
                      <c:pt idx="24">
                        <c:v>-0.17642857142857138</c:v>
                      </c:pt>
                      <c:pt idx="25">
                        <c:v>-8.0659150043365102E-2</c:v>
                      </c:pt>
                      <c:pt idx="26">
                        <c:v>-0.49457960940086065</c:v>
                      </c:pt>
                      <c:pt idx="27">
                        <c:v>0.30285714285714294</c:v>
                      </c:pt>
                      <c:pt idx="28">
                        <c:v>1.3157894736842035E-2</c:v>
                      </c:pt>
                      <c:pt idx="29">
                        <c:v>8.7313310356146312E-2</c:v>
                      </c:pt>
                      <c:pt idx="30">
                        <c:v>-2.1563342318059342E-2</c:v>
                      </c:pt>
                      <c:pt idx="31">
                        <c:v>7.1625344352617137E-2</c:v>
                      </c:pt>
                      <c:pt idx="32">
                        <c:v>-0.17378673087176078</c:v>
                      </c:pt>
                      <c:pt idx="33">
                        <c:v>-6.466876971608837E-2</c:v>
                      </c:pt>
                      <c:pt idx="34">
                        <c:v>0.15005092414806409</c:v>
                      </c:pt>
                      <c:pt idx="35">
                        <c:v>0.21130952380952372</c:v>
                      </c:pt>
                      <c:pt idx="36">
                        <c:v>0.11793611793611802</c:v>
                      </c:pt>
                      <c:pt idx="37">
                        <c:v>0.29780219780219785</c:v>
                      </c:pt>
                      <c:pt idx="38">
                        <c:v>4.641172184763076E-2</c:v>
                      </c:pt>
                      <c:pt idx="39">
                        <c:v>-0.10839445802770986</c:v>
                      </c:pt>
                      <c:pt idx="40">
                        <c:v>-8.6837294332723913E-2</c:v>
                      </c:pt>
                      <c:pt idx="41">
                        <c:v>-1.5047210953643697E-2</c:v>
                      </c:pt>
                      <c:pt idx="42">
                        <c:v>-0.10677618069815198</c:v>
                      </c:pt>
                      <c:pt idx="43">
                        <c:v>-0.14597701149425291</c:v>
                      </c:pt>
                      <c:pt idx="44">
                        <c:v>0.13806639748766258</c:v>
                      </c:pt>
                      <c:pt idx="45">
                        <c:v>-8.9928057553956831E-2</c:v>
                      </c:pt>
                      <c:pt idx="46">
                        <c:v>-9.8814229249011842E-2</c:v>
                      </c:pt>
                      <c:pt idx="47">
                        <c:v>-2.6808785529715773E-2</c:v>
                      </c:pt>
                      <c:pt idx="48">
                        <c:v>0.1770992366412214</c:v>
                      </c:pt>
                      <c:pt idx="49">
                        <c:v>0.34889753566796378</c:v>
                      </c:pt>
                      <c:pt idx="50">
                        <c:v>9.6600673262907222E-2</c:v>
                      </c:pt>
                      <c:pt idx="51">
                        <c:v>-3.5429583702392131E-3</c:v>
                      </c:pt>
                      <c:pt idx="52">
                        <c:v>0.1982222222222223</c:v>
                      </c:pt>
                      <c:pt idx="53">
                        <c:v>-0.1868593202050175</c:v>
                      </c:pt>
                      <c:pt idx="54">
                        <c:v>1.9301470588235281E-2</c:v>
                      </c:pt>
                      <c:pt idx="55">
                        <c:v>-3.5166816952209135E-2</c:v>
                      </c:pt>
                      <c:pt idx="56">
                        <c:v>-0.1163763191809587</c:v>
                      </c:pt>
                      <c:pt idx="57">
                        <c:v>0.45512820512820507</c:v>
                      </c:pt>
                      <c:pt idx="58">
                        <c:v>-0.19456681350954474</c:v>
                      </c:pt>
                      <c:pt idx="59">
                        <c:v>-8.5365522473044186E-2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8A4-4931-9BFC-139A01E5B0FF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'Part2(a)'!$G$2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'Part2(a)'!$A$3:$A$62</c15:sqref>
                        </c15:formulaRef>
                      </c:ext>
                    </c:extLst>
                    <c:numCache>
                      <c:formatCode>m/d/yyyy</c:formatCode>
                      <c:ptCount val="60"/>
                      <c:pt idx="0">
                        <c:v>43131</c:v>
                      </c:pt>
                      <c:pt idx="1">
                        <c:v>43159</c:v>
                      </c:pt>
                      <c:pt idx="2">
                        <c:v>43188</c:v>
                      </c:pt>
                      <c:pt idx="3">
                        <c:v>43220</c:v>
                      </c:pt>
                      <c:pt idx="4">
                        <c:v>43251</c:v>
                      </c:pt>
                      <c:pt idx="5">
                        <c:v>43280</c:v>
                      </c:pt>
                      <c:pt idx="6">
                        <c:v>43312</c:v>
                      </c:pt>
                      <c:pt idx="7">
                        <c:v>43343</c:v>
                      </c:pt>
                      <c:pt idx="8">
                        <c:v>43371</c:v>
                      </c:pt>
                      <c:pt idx="9">
                        <c:v>43404</c:v>
                      </c:pt>
                      <c:pt idx="10">
                        <c:v>43434</c:v>
                      </c:pt>
                      <c:pt idx="11">
                        <c:v>43465</c:v>
                      </c:pt>
                      <c:pt idx="12">
                        <c:v>43496</c:v>
                      </c:pt>
                      <c:pt idx="13">
                        <c:v>43524</c:v>
                      </c:pt>
                      <c:pt idx="14">
                        <c:v>43553</c:v>
                      </c:pt>
                      <c:pt idx="15">
                        <c:v>43585</c:v>
                      </c:pt>
                      <c:pt idx="16">
                        <c:v>43616</c:v>
                      </c:pt>
                      <c:pt idx="17">
                        <c:v>43644</c:v>
                      </c:pt>
                      <c:pt idx="18">
                        <c:v>43677</c:v>
                      </c:pt>
                      <c:pt idx="19">
                        <c:v>43707</c:v>
                      </c:pt>
                      <c:pt idx="20">
                        <c:v>43738</c:v>
                      </c:pt>
                      <c:pt idx="21">
                        <c:v>43769</c:v>
                      </c:pt>
                      <c:pt idx="22">
                        <c:v>43798</c:v>
                      </c:pt>
                      <c:pt idx="23">
                        <c:v>43830</c:v>
                      </c:pt>
                      <c:pt idx="24">
                        <c:v>43861</c:v>
                      </c:pt>
                      <c:pt idx="25">
                        <c:v>43889</c:v>
                      </c:pt>
                      <c:pt idx="26">
                        <c:v>43921</c:v>
                      </c:pt>
                      <c:pt idx="27">
                        <c:v>43951</c:v>
                      </c:pt>
                      <c:pt idx="28">
                        <c:v>43980</c:v>
                      </c:pt>
                      <c:pt idx="29">
                        <c:v>44012</c:v>
                      </c:pt>
                      <c:pt idx="30">
                        <c:v>44043</c:v>
                      </c:pt>
                      <c:pt idx="31">
                        <c:v>44074</c:v>
                      </c:pt>
                      <c:pt idx="32">
                        <c:v>44104</c:v>
                      </c:pt>
                      <c:pt idx="33">
                        <c:v>44134</c:v>
                      </c:pt>
                      <c:pt idx="34">
                        <c:v>44165</c:v>
                      </c:pt>
                      <c:pt idx="35">
                        <c:v>44196</c:v>
                      </c:pt>
                      <c:pt idx="36">
                        <c:v>44225</c:v>
                      </c:pt>
                      <c:pt idx="37">
                        <c:v>44253</c:v>
                      </c:pt>
                      <c:pt idx="38">
                        <c:v>44286</c:v>
                      </c:pt>
                      <c:pt idx="39">
                        <c:v>44316</c:v>
                      </c:pt>
                      <c:pt idx="40">
                        <c:v>44344</c:v>
                      </c:pt>
                      <c:pt idx="41">
                        <c:v>44377</c:v>
                      </c:pt>
                      <c:pt idx="42">
                        <c:v>44407</c:v>
                      </c:pt>
                      <c:pt idx="43">
                        <c:v>44439</c:v>
                      </c:pt>
                      <c:pt idx="44">
                        <c:v>44469</c:v>
                      </c:pt>
                      <c:pt idx="45">
                        <c:v>44498</c:v>
                      </c:pt>
                      <c:pt idx="46">
                        <c:v>44530</c:v>
                      </c:pt>
                      <c:pt idx="47">
                        <c:v>44561</c:v>
                      </c:pt>
                      <c:pt idx="48">
                        <c:v>44592</c:v>
                      </c:pt>
                      <c:pt idx="49">
                        <c:v>44620</c:v>
                      </c:pt>
                      <c:pt idx="50">
                        <c:v>44651</c:v>
                      </c:pt>
                      <c:pt idx="51">
                        <c:v>44680</c:v>
                      </c:pt>
                      <c:pt idx="52">
                        <c:v>44712</c:v>
                      </c:pt>
                      <c:pt idx="53">
                        <c:v>44742</c:v>
                      </c:pt>
                      <c:pt idx="54">
                        <c:v>44771</c:v>
                      </c:pt>
                      <c:pt idx="55">
                        <c:v>44804</c:v>
                      </c:pt>
                      <c:pt idx="56">
                        <c:v>44834</c:v>
                      </c:pt>
                      <c:pt idx="57">
                        <c:v>44865</c:v>
                      </c:pt>
                      <c:pt idx="58">
                        <c:v>44895</c:v>
                      </c:pt>
                      <c:pt idx="59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'Part2(a)'!$G$3:$G$62</c15:sqref>
                        </c15:formulaRef>
                      </c:ext>
                    </c:extLst>
                    <c:numCache>
                      <c:formatCode>0.0000</c:formatCode>
                      <c:ptCount val="60"/>
                      <c:pt idx="0">
                        <c:v>1.1304757418747036E-2</c:v>
                      </c:pt>
                      <c:pt idx="1">
                        <c:v>-0.15230554261760598</c:v>
                      </c:pt>
                      <c:pt idx="2">
                        <c:v>1.538461538461533E-2</c:v>
                      </c:pt>
                      <c:pt idx="3">
                        <c:v>-3.1385281385281405E-2</c:v>
                      </c:pt>
                      <c:pt idx="4">
                        <c:v>9.2737430167597834E-2</c:v>
                      </c:pt>
                      <c:pt idx="5">
                        <c:v>-2.7193784807719945E-2</c:v>
                      </c:pt>
                      <c:pt idx="6">
                        <c:v>4.1031652989449441E-3</c:v>
                      </c:pt>
                      <c:pt idx="7">
                        <c:v>4.6117921774664339E-2</c:v>
                      </c:pt>
                      <c:pt idx="8">
                        <c:v>1.2276785714285809E-2</c:v>
                      </c:pt>
                      <c:pt idx="9">
                        <c:v>-0.10088202866593166</c:v>
                      </c:pt>
                      <c:pt idx="10">
                        <c:v>8.4610668301655423E-2</c:v>
                      </c:pt>
                      <c:pt idx="11">
                        <c:v>-6.6139061616732664E-2</c:v>
                      </c:pt>
                      <c:pt idx="12">
                        <c:v>0.18886198547215494</c:v>
                      </c:pt>
                      <c:pt idx="13">
                        <c:v>0.11048879837067216</c:v>
                      </c:pt>
                      <c:pt idx="14">
                        <c:v>-1.5130674002751032E-2</c:v>
                      </c:pt>
                      <c:pt idx="15">
                        <c:v>9.6834264432029693E-2</c:v>
                      </c:pt>
                      <c:pt idx="16">
                        <c:v>-2.9711375212223556E-3</c:v>
                      </c:pt>
                      <c:pt idx="17">
                        <c:v>3.661132396764577E-2</c:v>
                      </c:pt>
                      <c:pt idx="18">
                        <c:v>5.9958932238193041E-2</c:v>
                      </c:pt>
                      <c:pt idx="19">
                        <c:v>0.11894614490507549</c:v>
                      </c:pt>
                      <c:pt idx="20">
                        <c:v>-6.9252077562327319E-3</c:v>
                      </c:pt>
                      <c:pt idx="21">
                        <c:v>7.9149232914923262E-2</c:v>
                      </c:pt>
                      <c:pt idx="22">
                        <c:v>-0.17350565428109854</c:v>
                      </c:pt>
                      <c:pt idx="23">
                        <c:v>6.8803752931978046E-2</c:v>
                      </c:pt>
                      <c:pt idx="24">
                        <c:v>7.3152889539129795E-4</c:v>
                      </c:pt>
                      <c:pt idx="25">
                        <c:v>-5.4824561403508776E-2</c:v>
                      </c:pt>
                      <c:pt idx="26">
                        <c:v>-0.13805104408352664</c:v>
                      </c:pt>
                      <c:pt idx="27">
                        <c:v>0.16509645580978027</c:v>
                      </c:pt>
                      <c:pt idx="28">
                        <c:v>-9.6264921062764186E-3</c:v>
                      </c:pt>
                      <c:pt idx="29">
                        <c:v>-0.12363919129082424</c:v>
                      </c:pt>
                      <c:pt idx="30">
                        <c:v>0.19742679680567887</c:v>
                      </c:pt>
                      <c:pt idx="31">
                        <c:v>2.1859948128936546E-2</c:v>
                      </c:pt>
                      <c:pt idx="32">
                        <c:v>-5.7287889775199385E-2</c:v>
                      </c:pt>
                      <c:pt idx="33">
                        <c:v>3.6538461538461631E-2</c:v>
                      </c:pt>
                      <c:pt idx="34">
                        <c:v>0.25862708719851568</c:v>
                      </c:pt>
                      <c:pt idx="35">
                        <c:v>0.11645047169811318</c:v>
                      </c:pt>
                      <c:pt idx="36">
                        <c:v>-6.0734090308951716E-2</c:v>
                      </c:pt>
                      <c:pt idx="37">
                        <c:v>-5.5102614562833829E-2</c:v>
                      </c:pt>
                      <c:pt idx="38">
                        <c:v>-3.2133293662600426E-2</c:v>
                      </c:pt>
                      <c:pt idx="39">
                        <c:v>0.11620043037196437</c:v>
                      </c:pt>
                      <c:pt idx="40">
                        <c:v>-6.8851556045166351E-3</c:v>
                      </c:pt>
                      <c:pt idx="41">
                        <c:v>-5.3244592346089803E-2</c:v>
                      </c:pt>
                      <c:pt idx="42">
                        <c:v>-9.9882835383714119E-2</c:v>
                      </c:pt>
                      <c:pt idx="43">
                        <c:v>-0.1070615034168565</c:v>
                      </c:pt>
                      <c:pt idx="44">
                        <c:v>-0.24489795918367341</c:v>
                      </c:pt>
                      <c:pt idx="45">
                        <c:v>-0.21332046332046328</c:v>
                      </c:pt>
                      <c:pt idx="46">
                        <c:v>-2.822085889570547E-2</c:v>
                      </c:pt>
                      <c:pt idx="47">
                        <c:v>2.1464646464646409E-2</c:v>
                      </c:pt>
                      <c:pt idx="48">
                        <c:v>-0.10877626699629173</c:v>
                      </c:pt>
                      <c:pt idx="49">
                        <c:v>-0.19833564493758671</c:v>
                      </c:pt>
                      <c:pt idx="50">
                        <c:v>7.9584775086505299E-2</c:v>
                      </c:pt>
                      <c:pt idx="51">
                        <c:v>-0.25641025641025639</c:v>
                      </c:pt>
                      <c:pt idx="52">
                        <c:v>0.2262931034482758</c:v>
                      </c:pt>
                      <c:pt idx="53">
                        <c:v>-0.18717047451669599</c:v>
                      </c:pt>
                      <c:pt idx="54">
                        <c:v>0.13621621621621616</c:v>
                      </c:pt>
                      <c:pt idx="55">
                        <c:v>-4.8525214081826862E-2</c:v>
                      </c:pt>
                      <c:pt idx="56">
                        <c:v>-0.41700000000000004</c:v>
                      </c:pt>
                      <c:pt idx="57">
                        <c:v>0.13379073756432236</c:v>
                      </c:pt>
                      <c:pt idx="58">
                        <c:v>-0.31013615733736766</c:v>
                      </c:pt>
                      <c:pt idx="59">
                        <c:v>8.7719298245614308E-3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8A4-4931-9BFC-139A01E5B0FF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'Part2(a)'!$I$2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'Part2(a)'!$A$3:$A$62</c15:sqref>
                        </c15:formulaRef>
                      </c:ext>
                    </c:extLst>
                    <c:numCache>
                      <c:formatCode>m/d/yyyy</c:formatCode>
                      <c:ptCount val="60"/>
                      <c:pt idx="0">
                        <c:v>43131</c:v>
                      </c:pt>
                      <c:pt idx="1">
                        <c:v>43159</c:v>
                      </c:pt>
                      <c:pt idx="2">
                        <c:v>43188</c:v>
                      </c:pt>
                      <c:pt idx="3">
                        <c:v>43220</c:v>
                      </c:pt>
                      <c:pt idx="4">
                        <c:v>43251</c:v>
                      </c:pt>
                      <c:pt idx="5">
                        <c:v>43280</c:v>
                      </c:pt>
                      <c:pt idx="6">
                        <c:v>43312</c:v>
                      </c:pt>
                      <c:pt idx="7">
                        <c:v>43343</c:v>
                      </c:pt>
                      <c:pt idx="8">
                        <c:v>43371</c:v>
                      </c:pt>
                      <c:pt idx="9">
                        <c:v>43404</c:v>
                      </c:pt>
                      <c:pt idx="10">
                        <c:v>43434</c:v>
                      </c:pt>
                      <c:pt idx="11">
                        <c:v>43465</c:v>
                      </c:pt>
                      <c:pt idx="12">
                        <c:v>43496</c:v>
                      </c:pt>
                      <c:pt idx="13">
                        <c:v>43524</c:v>
                      </c:pt>
                      <c:pt idx="14">
                        <c:v>43553</c:v>
                      </c:pt>
                      <c:pt idx="15">
                        <c:v>43585</c:v>
                      </c:pt>
                      <c:pt idx="16">
                        <c:v>43616</c:v>
                      </c:pt>
                      <c:pt idx="17">
                        <c:v>43644</c:v>
                      </c:pt>
                      <c:pt idx="18">
                        <c:v>43677</c:v>
                      </c:pt>
                      <c:pt idx="19">
                        <c:v>43707</c:v>
                      </c:pt>
                      <c:pt idx="20">
                        <c:v>43738</c:v>
                      </c:pt>
                      <c:pt idx="21">
                        <c:v>43769</c:v>
                      </c:pt>
                      <c:pt idx="22">
                        <c:v>43798</c:v>
                      </c:pt>
                      <c:pt idx="23">
                        <c:v>43830</c:v>
                      </c:pt>
                      <c:pt idx="24">
                        <c:v>43861</c:v>
                      </c:pt>
                      <c:pt idx="25">
                        <c:v>43889</c:v>
                      </c:pt>
                      <c:pt idx="26">
                        <c:v>43921</c:v>
                      </c:pt>
                      <c:pt idx="27">
                        <c:v>43951</c:v>
                      </c:pt>
                      <c:pt idx="28">
                        <c:v>43980</c:v>
                      </c:pt>
                      <c:pt idx="29">
                        <c:v>44012</c:v>
                      </c:pt>
                      <c:pt idx="30">
                        <c:v>44043</c:v>
                      </c:pt>
                      <c:pt idx="31">
                        <c:v>44074</c:v>
                      </c:pt>
                      <c:pt idx="32">
                        <c:v>44104</c:v>
                      </c:pt>
                      <c:pt idx="33">
                        <c:v>44134</c:v>
                      </c:pt>
                      <c:pt idx="34">
                        <c:v>44165</c:v>
                      </c:pt>
                      <c:pt idx="35">
                        <c:v>44196</c:v>
                      </c:pt>
                      <c:pt idx="36">
                        <c:v>44225</c:v>
                      </c:pt>
                      <c:pt idx="37">
                        <c:v>44253</c:v>
                      </c:pt>
                      <c:pt idx="38">
                        <c:v>44286</c:v>
                      </c:pt>
                      <c:pt idx="39">
                        <c:v>44316</c:v>
                      </c:pt>
                      <c:pt idx="40">
                        <c:v>44344</c:v>
                      </c:pt>
                      <c:pt idx="41">
                        <c:v>44377</c:v>
                      </c:pt>
                      <c:pt idx="42">
                        <c:v>44407</c:v>
                      </c:pt>
                      <c:pt idx="43">
                        <c:v>44439</c:v>
                      </c:pt>
                      <c:pt idx="44">
                        <c:v>44469</c:v>
                      </c:pt>
                      <c:pt idx="45">
                        <c:v>44498</c:v>
                      </c:pt>
                      <c:pt idx="46">
                        <c:v>44530</c:v>
                      </c:pt>
                      <c:pt idx="47">
                        <c:v>44561</c:v>
                      </c:pt>
                      <c:pt idx="48">
                        <c:v>44592</c:v>
                      </c:pt>
                      <c:pt idx="49">
                        <c:v>44620</c:v>
                      </c:pt>
                      <c:pt idx="50">
                        <c:v>44651</c:v>
                      </c:pt>
                      <c:pt idx="51">
                        <c:v>44680</c:v>
                      </c:pt>
                      <c:pt idx="52">
                        <c:v>44712</c:v>
                      </c:pt>
                      <c:pt idx="53">
                        <c:v>44742</c:v>
                      </c:pt>
                      <c:pt idx="54">
                        <c:v>44771</c:v>
                      </c:pt>
                      <c:pt idx="55">
                        <c:v>44804</c:v>
                      </c:pt>
                      <c:pt idx="56">
                        <c:v>44834</c:v>
                      </c:pt>
                      <c:pt idx="57">
                        <c:v>44865</c:v>
                      </c:pt>
                      <c:pt idx="58">
                        <c:v>44895</c:v>
                      </c:pt>
                      <c:pt idx="59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'Part2(a)'!$I$3:$I$62</c15:sqref>
                        </c15:formulaRef>
                      </c:ext>
                    </c:extLst>
                    <c:numCache>
                      <c:formatCode>0.0000</c:formatCode>
                      <c:ptCount val="60"/>
                      <c:pt idx="0">
                        <c:v>3.6960276338514599E-2</c:v>
                      </c:pt>
                      <c:pt idx="1">
                        <c:v>-6.9176104819009598E-2</c:v>
                      </c:pt>
                      <c:pt idx="2">
                        <c:v>-1.69390433019205E-2</c:v>
                      </c:pt>
                      <c:pt idx="3">
                        <c:v>-5.3391578691905899E-3</c:v>
                      </c:pt>
                      <c:pt idx="4">
                        <c:v>-2.43068017284387E-3</c:v>
                      </c:pt>
                      <c:pt idx="5">
                        <c:v>-4.3787562860296801E-2</c:v>
                      </c:pt>
                      <c:pt idx="6">
                        <c:v>-3.7839917906618802E-2</c:v>
                      </c:pt>
                      <c:pt idx="7">
                        <c:v>5.54184162090883E-2</c:v>
                      </c:pt>
                      <c:pt idx="8">
                        <c:v>8.9469015333924803E-2</c:v>
                      </c:pt>
                      <c:pt idx="9">
                        <c:v>-0.167732930091892</c:v>
                      </c:pt>
                      <c:pt idx="10">
                        <c:v>0.22601182355616201</c:v>
                      </c:pt>
                      <c:pt idx="11">
                        <c:v>-0.114008004574042</c:v>
                      </c:pt>
                      <c:pt idx="12">
                        <c:v>0.15474961280330399</c:v>
                      </c:pt>
                      <c:pt idx="13">
                        <c:v>5.3005069388951401E-2</c:v>
                      </c:pt>
                      <c:pt idx="14">
                        <c:v>-7.4606215410813095E-2</c:v>
                      </c:pt>
                      <c:pt idx="15">
                        <c:v>7.6940770557791804E-2</c:v>
                      </c:pt>
                      <c:pt idx="16">
                        <c:v>-0.117293952074894</c:v>
                      </c:pt>
                      <c:pt idx="17">
                        <c:v>0.13576801747148701</c:v>
                      </c:pt>
                      <c:pt idx="18">
                        <c:v>-0.12979382544599899</c:v>
                      </c:pt>
                      <c:pt idx="19">
                        <c:v>7.3266249940195905E-4</c:v>
                      </c:pt>
                      <c:pt idx="20">
                        <c:v>-1.6000000000000499E-3</c:v>
                      </c:pt>
                      <c:pt idx="21">
                        <c:v>3.1928007889546299E-2</c:v>
                      </c:pt>
                      <c:pt idx="22">
                        <c:v>2.8695888987371399E-2</c:v>
                      </c:pt>
                      <c:pt idx="23">
                        <c:v>-6.28857575404684E-3</c:v>
                      </c:pt>
                      <c:pt idx="24">
                        <c:v>5.0158209305051001E-2</c:v>
                      </c:pt>
                      <c:pt idx="25">
                        <c:v>-0.137106442261267</c:v>
                      </c:pt>
                      <c:pt idx="26">
                        <c:v>-0.34478734439834002</c:v>
                      </c:pt>
                      <c:pt idx="27">
                        <c:v>-2.0779734811003401E-2</c:v>
                      </c:pt>
                      <c:pt idx="28">
                        <c:v>9.7210994341147897E-2</c:v>
                      </c:pt>
                      <c:pt idx="29">
                        <c:v>-2.4129673973107401E-2</c:v>
                      </c:pt>
                      <c:pt idx="30">
                        <c:v>1.39675349188373E-2</c:v>
                      </c:pt>
                      <c:pt idx="31">
                        <c:v>0.12686672963569001</c:v>
                      </c:pt>
                      <c:pt idx="32">
                        <c:v>5.3740255432078297E-2</c:v>
                      </c:pt>
                      <c:pt idx="33">
                        <c:v>-1.7944278293719501E-2</c:v>
                      </c:pt>
                      <c:pt idx="34">
                        <c:v>0.243918511562392</c:v>
                      </c:pt>
                      <c:pt idx="35">
                        <c:v>2.50775594622543E-2</c:v>
                      </c:pt>
                      <c:pt idx="36">
                        <c:v>-6.8474148802017604E-2</c:v>
                      </c:pt>
                      <c:pt idx="37">
                        <c:v>5.4595793137251998E-2</c:v>
                      </c:pt>
                      <c:pt idx="38">
                        <c:v>7.0692763327324201E-2</c:v>
                      </c:pt>
                      <c:pt idx="39">
                        <c:v>4.0889957907396197E-2</c:v>
                      </c:pt>
                      <c:pt idx="40">
                        <c:v>4.5134554354283998E-2</c:v>
                      </c:pt>
                      <c:pt idx="41">
                        <c:v>-6.8070953436807094E-2</c:v>
                      </c:pt>
                      <c:pt idx="42">
                        <c:v>-7.3637877706400207E-2</c:v>
                      </c:pt>
                      <c:pt idx="43">
                        <c:v>2.3486977007947302E-2</c:v>
                      </c:pt>
                      <c:pt idx="44">
                        <c:v>-4.0407854984894298E-2</c:v>
                      </c:pt>
                      <c:pt idx="45">
                        <c:v>-9.1827364554637504E-3</c:v>
                      </c:pt>
                      <c:pt idx="46">
                        <c:v>-8.1283196160776894E-2</c:v>
                      </c:pt>
                      <c:pt idx="47">
                        <c:v>0.17059418823189201</c:v>
                      </c:pt>
                      <c:pt idx="48">
                        <c:v>-5.8416697542299598E-2</c:v>
                      </c:pt>
                      <c:pt idx="49">
                        <c:v>9.3844908208531294E-2</c:v>
                      </c:pt>
                      <c:pt idx="50">
                        <c:v>5.6431235711707398E-2</c:v>
                      </c:pt>
                      <c:pt idx="51">
                        <c:v>-9.0318906605922594E-2</c:v>
                      </c:pt>
                      <c:pt idx="52">
                        <c:v>2.2572064528676199E-2</c:v>
                      </c:pt>
                      <c:pt idx="53">
                        <c:v>-2.45730433714215E-2</c:v>
                      </c:pt>
                      <c:pt idx="54">
                        <c:v>7.8725280261997793E-2</c:v>
                      </c:pt>
                      <c:pt idx="55">
                        <c:v>-0.121804633528587</c:v>
                      </c:pt>
                      <c:pt idx="56">
                        <c:v>-6.1749799946652403E-2</c:v>
                      </c:pt>
                      <c:pt idx="57">
                        <c:v>0.204690831556503</c:v>
                      </c:pt>
                      <c:pt idx="58">
                        <c:v>2.9974030574900602E-2</c:v>
                      </c:pt>
                      <c:pt idx="59">
                        <c:v>8.3879122141790104E-3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8A4-4931-9BFC-139A01E5B0FF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'Part2(a)'!$J$2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'Part2(a)'!$A$3:$A$62</c15:sqref>
                        </c15:formulaRef>
                      </c:ext>
                    </c:extLst>
                    <c:numCache>
                      <c:formatCode>m/d/yyyy</c:formatCode>
                      <c:ptCount val="60"/>
                      <c:pt idx="0">
                        <c:v>43131</c:v>
                      </c:pt>
                      <c:pt idx="1">
                        <c:v>43159</c:v>
                      </c:pt>
                      <c:pt idx="2">
                        <c:v>43188</c:v>
                      </c:pt>
                      <c:pt idx="3">
                        <c:v>43220</c:v>
                      </c:pt>
                      <c:pt idx="4">
                        <c:v>43251</c:v>
                      </c:pt>
                      <c:pt idx="5">
                        <c:v>43280</c:v>
                      </c:pt>
                      <c:pt idx="6">
                        <c:v>43312</c:v>
                      </c:pt>
                      <c:pt idx="7">
                        <c:v>43343</c:v>
                      </c:pt>
                      <c:pt idx="8">
                        <c:v>43371</c:v>
                      </c:pt>
                      <c:pt idx="9">
                        <c:v>43404</c:v>
                      </c:pt>
                      <c:pt idx="10">
                        <c:v>43434</c:v>
                      </c:pt>
                      <c:pt idx="11">
                        <c:v>43465</c:v>
                      </c:pt>
                      <c:pt idx="12">
                        <c:v>43496</c:v>
                      </c:pt>
                      <c:pt idx="13">
                        <c:v>43524</c:v>
                      </c:pt>
                      <c:pt idx="14">
                        <c:v>43553</c:v>
                      </c:pt>
                      <c:pt idx="15">
                        <c:v>43585</c:v>
                      </c:pt>
                      <c:pt idx="16">
                        <c:v>43616</c:v>
                      </c:pt>
                      <c:pt idx="17">
                        <c:v>43644</c:v>
                      </c:pt>
                      <c:pt idx="18">
                        <c:v>43677</c:v>
                      </c:pt>
                      <c:pt idx="19">
                        <c:v>43707</c:v>
                      </c:pt>
                      <c:pt idx="20">
                        <c:v>43738</c:v>
                      </c:pt>
                      <c:pt idx="21">
                        <c:v>43769</c:v>
                      </c:pt>
                      <c:pt idx="22">
                        <c:v>43798</c:v>
                      </c:pt>
                      <c:pt idx="23">
                        <c:v>43830</c:v>
                      </c:pt>
                      <c:pt idx="24">
                        <c:v>43861</c:v>
                      </c:pt>
                      <c:pt idx="25">
                        <c:v>43889</c:v>
                      </c:pt>
                      <c:pt idx="26">
                        <c:v>43921</c:v>
                      </c:pt>
                      <c:pt idx="27">
                        <c:v>43951</c:v>
                      </c:pt>
                      <c:pt idx="28">
                        <c:v>43980</c:v>
                      </c:pt>
                      <c:pt idx="29">
                        <c:v>44012</c:v>
                      </c:pt>
                      <c:pt idx="30">
                        <c:v>44043</c:v>
                      </c:pt>
                      <c:pt idx="31">
                        <c:v>44074</c:v>
                      </c:pt>
                      <c:pt idx="32">
                        <c:v>44104</c:v>
                      </c:pt>
                      <c:pt idx="33">
                        <c:v>44134</c:v>
                      </c:pt>
                      <c:pt idx="34">
                        <c:v>44165</c:v>
                      </c:pt>
                      <c:pt idx="35">
                        <c:v>44196</c:v>
                      </c:pt>
                      <c:pt idx="36">
                        <c:v>44225</c:v>
                      </c:pt>
                      <c:pt idx="37">
                        <c:v>44253</c:v>
                      </c:pt>
                      <c:pt idx="38">
                        <c:v>44286</c:v>
                      </c:pt>
                      <c:pt idx="39">
                        <c:v>44316</c:v>
                      </c:pt>
                      <c:pt idx="40">
                        <c:v>44344</c:v>
                      </c:pt>
                      <c:pt idx="41">
                        <c:v>44377</c:v>
                      </c:pt>
                      <c:pt idx="42">
                        <c:v>44407</c:v>
                      </c:pt>
                      <c:pt idx="43">
                        <c:v>44439</c:v>
                      </c:pt>
                      <c:pt idx="44">
                        <c:v>44469</c:v>
                      </c:pt>
                      <c:pt idx="45">
                        <c:v>44498</c:v>
                      </c:pt>
                      <c:pt idx="46">
                        <c:v>44530</c:v>
                      </c:pt>
                      <c:pt idx="47">
                        <c:v>44561</c:v>
                      </c:pt>
                      <c:pt idx="48">
                        <c:v>44592</c:v>
                      </c:pt>
                      <c:pt idx="49">
                        <c:v>44620</c:v>
                      </c:pt>
                      <c:pt idx="50">
                        <c:v>44651</c:v>
                      </c:pt>
                      <c:pt idx="51">
                        <c:v>44680</c:v>
                      </c:pt>
                      <c:pt idx="52">
                        <c:v>44712</c:v>
                      </c:pt>
                      <c:pt idx="53">
                        <c:v>44742</c:v>
                      </c:pt>
                      <c:pt idx="54">
                        <c:v>44771</c:v>
                      </c:pt>
                      <c:pt idx="55">
                        <c:v>44804</c:v>
                      </c:pt>
                      <c:pt idx="56">
                        <c:v>44834</c:v>
                      </c:pt>
                      <c:pt idx="57">
                        <c:v>44865</c:v>
                      </c:pt>
                      <c:pt idx="58">
                        <c:v>44895</c:v>
                      </c:pt>
                      <c:pt idx="59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'Part2(a)'!$J$3:$J$62</c15:sqref>
                        </c15:formulaRef>
                      </c:ext>
                    </c:extLst>
                    <c:numCache>
                      <c:formatCode>0.0000</c:formatCode>
                      <c:ptCount val="60"/>
                      <c:pt idx="0">
                        <c:v>-3.6668738346799297E-2</c:v>
                      </c:pt>
                      <c:pt idx="1">
                        <c:v>1.6129032258065401E-3</c:v>
                      </c:pt>
                      <c:pt idx="2">
                        <c:v>3.2037754909160797E-2</c:v>
                      </c:pt>
                      <c:pt idx="3">
                        <c:v>-1.8141311266709099E-2</c:v>
                      </c:pt>
                      <c:pt idx="4">
                        <c:v>2.3987034035656499E-2</c:v>
                      </c:pt>
                      <c:pt idx="5">
                        <c:v>1.4431305975062E-2</c:v>
                      </c:pt>
                      <c:pt idx="6">
                        <c:v>5.4406617881005398E-2</c:v>
                      </c:pt>
                      <c:pt idx="7">
                        <c:v>2.7761013880506901E-2</c:v>
                      </c:pt>
                      <c:pt idx="8">
                        <c:v>2.1260898277350999E-3</c:v>
                      </c:pt>
                      <c:pt idx="9">
                        <c:v>6.8636227991645303E-3</c:v>
                      </c:pt>
                      <c:pt idx="10">
                        <c:v>4.0308239478363997E-2</c:v>
                      </c:pt>
                      <c:pt idx="11">
                        <c:v>-7.4737625783520306E-2</c:v>
                      </c:pt>
                      <c:pt idx="12">
                        <c:v>8.2548650345260599E-2</c:v>
                      </c:pt>
                      <c:pt idx="13">
                        <c:v>-2.8993911278629697E-4</c:v>
                      </c:pt>
                      <c:pt idx="14">
                        <c:v>2.0411554321725599E-2</c:v>
                      </c:pt>
                      <c:pt idx="15">
                        <c:v>2.98032407407407E-2</c:v>
                      </c:pt>
                      <c:pt idx="16">
                        <c:v>-9.2722674908681801E-3</c:v>
                      </c:pt>
                      <c:pt idx="17">
                        <c:v>2.6768504426073501E-2</c:v>
                      </c:pt>
                      <c:pt idx="18">
                        <c:v>-1.68634064080941E-3</c:v>
                      </c:pt>
                      <c:pt idx="19">
                        <c:v>-2.0270270270270299E-2</c:v>
                      </c:pt>
                      <c:pt idx="20">
                        <c:v>4.8043339829805201E-2</c:v>
                      </c:pt>
                      <c:pt idx="21">
                        <c:v>1.25523012552302E-2</c:v>
                      </c:pt>
                      <c:pt idx="22">
                        <c:v>9.0909090909090402E-3</c:v>
                      </c:pt>
                      <c:pt idx="23">
                        <c:v>3.3028486694884701E-2</c:v>
                      </c:pt>
                      <c:pt idx="24">
                        <c:v>2.63299301450832E-2</c:v>
                      </c:pt>
                      <c:pt idx="25">
                        <c:v>-5.6020942408377003E-2</c:v>
                      </c:pt>
                      <c:pt idx="26">
                        <c:v>-0.46722072898445599</c:v>
                      </c:pt>
                      <c:pt idx="27">
                        <c:v>0.263694951664877</c:v>
                      </c:pt>
                      <c:pt idx="28">
                        <c:v>2.5499362515937199E-3</c:v>
                      </c:pt>
                      <c:pt idx="29">
                        <c:v>4.7434176928102603E-2</c:v>
                      </c:pt>
                      <c:pt idx="30">
                        <c:v>-8.3022000830223998E-4</c:v>
                      </c:pt>
                      <c:pt idx="31">
                        <c:v>-1.2463647694225101E-2</c:v>
                      </c:pt>
                      <c:pt idx="32">
                        <c:v>-4.9889362780448199E-2</c:v>
                      </c:pt>
                      <c:pt idx="33">
                        <c:v>-1.2289485662266701E-2</c:v>
                      </c:pt>
                      <c:pt idx="34">
                        <c:v>0.197235023041475</c:v>
                      </c:pt>
                      <c:pt idx="35">
                        <c:v>8.3551823080691506E-2</c:v>
                      </c:pt>
                      <c:pt idx="36">
                        <c:v>-3.1601888848528902E-2</c:v>
                      </c:pt>
                      <c:pt idx="37">
                        <c:v>9.5273818454613607E-2</c:v>
                      </c:pt>
                      <c:pt idx="38">
                        <c:v>8.2619590176100197E-2</c:v>
                      </c:pt>
                      <c:pt idx="39">
                        <c:v>4.80645161290323E-2</c:v>
                      </c:pt>
                      <c:pt idx="40">
                        <c:v>-1.41582025238535E-2</c:v>
                      </c:pt>
                      <c:pt idx="41">
                        <c:v>1.48473430691727E-2</c:v>
                      </c:pt>
                      <c:pt idx="42">
                        <c:v>1.6619629978049399E-2</c:v>
                      </c:pt>
                      <c:pt idx="43">
                        <c:v>1.20296113510179E-2</c:v>
                      </c:pt>
                      <c:pt idx="44">
                        <c:v>-5.7259064879585098E-2</c:v>
                      </c:pt>
                      <c:pt idx="45">
                        <c:v>8.5092348284960401E-2</c:v>
                      </c:pt>
                      <c:pt idx="46">
                        <c:v>-8.8145896656534897E-2</c:v>
                      </c:pt>
                      <c:pt idx="47">
                        <c:v>4.1159326424870399E-2</c:v>
                      </c:pt>
                      <c:pt idx="48">
                        <c:v>2.6126714565643399E-2</c:v>
                      </c:pt>
                      <c:pt idx="49">
                        <c:v>1.1457670273711E-2</c:v>
                      </c:pt>
                      <c:pt idx="50">
                        <c:v>1.9762612236327699E-2</c:v>
                      </c:pt>
                      <c:pt idx="51">
                        <c:v>-5.50487574709028E-2</c:v>
                      </c:pt>
                      <c:pt idx="52">
                        <c:v>3.5619174434087901E-2</c:v>
                      </c:pt>
                      <c:pt idx="53">
                        <c:v>-9.0803299318775302E-2</c:v>
                      </c:pt>
                      <c:pt idx="54">
                        <c:v>0.11926273942898399</c:v>
                      </c:pt>
                      <c:pt idx="55">
                        <c:v>-6.4255731352922202E-2</c:v>
                      </c:pt>
                      <c:pt idx="56">
                        <c:v>-0.17375038825283201</c:v>
                      </c:pt>
                      <c:pt idx="57">
                        <c:v>6.9408740359897095E-2</c:v>
                      </c:pt>
                      <c:pt idx="58">
                        <c:v>1.2419871794871799E-2</c:v>
                      </c:pt>
                      <c:pt idx="59">
                        <c:v>-0.138021679296434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8A4-4931-9BFC-139A01E5B0FF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'Part2(a)'!$L$2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'Part2(a)'!$A$3:$A$62</c15:sqref>
                        </c15:formulaRef>
                      </c:ext>
                    </c:extLst>
                    <c:numCache>
                      <c:formatCode>m/d/yyyy</c:formatCode>
                      <c:ptCount val="60"/>
                      <c:pt idx="0">
                        <c:v>43131</c:v>
                      </c:pt>
                      <c:pt idx="1">
                        <c:v>43159</c:v>
                      </c:pt>
                      <c:pt idx="2">
                        <c:v>43188</c:v>
                      </c:pt>
                      <c:pt idx="3">
                        <c:v>43220</c:v>
                      </c:pt>
                      <c:pt idx="4">
                        <c:v>43251</c:v>
                      </c:pt>
                      <c:pt idx="5">
                        <c:v>43280</c:v>
                      </c:pt>
                      <c:pt idx="6">
                        <c:v>43312</c:v>
                      </c:pt>
                      <c:pt idx="7">
                        <c:v>43343</c:v>
                      </c:pt>
                      <c:pt idx="8">
                        <c:v>43371</c:v>
                      </c:pt>
                      <c:pt idx="9">
                        <c:v>43404</c:v>
                      </c:pt>
                      <c:pt idx="10">
                        <c:v>43434</c:v>
                      </c:pt>
                      <c:pt idx="11">
                        <c:v>43465</c:v>
                      </c:pt>
                      <c:pt idx="12">
                        <c:v>43496</c:v>
                      </c:pt>
                      <c:pt idx="13">
                        <c:v>43524</c:v>
                      </c:pt>
                      <c:pt idx="14">
                        <c:v>43553</c:v>
                      </c:pt>
                      <c:pt idx="15">
                        <c:v>43585</c:v>
                      </c:pt>
                      <c:pt idx="16">
                        <c:v>43616</c:v>
                      </c:pt>
                      <c:pt idx="17">
                        <c:v>43644</c:v>
                      </c:pt>
                      <c:pt idx="18">
                        <c:v>43677</c:v>
                      </c:pt>
                      <c:pt idx="19">
                        <c:v>43707</c:v>
                      </c:pt>
                      <c:pt idx="20">
                        <c:v>43738</c:v>
                      </c:pt>
                      <c:pt idx="21">
                        <c:v>43769</c:v>
                      </c:pt>
                      <c:pt idx="22">
                        <c:v>43798</c:v>
                      </c:pt>
                      <c:pt idx="23">
                        <c:v>43830</c:v>
                      </c:pt>
                      <c:pt idx="24">
                        <c:v>43861</c:v>
                      </c:pt>
                      <c:pt idx="25">
                        <c:v>43889</c:v>
                      </c:pt>
                      <c:pt idx="26">
                        <c:v>43921</c:v>
                      </c:pt>
                      <c:pt idx="27">
                        <c:v>43951</c:v>
                      </c:pt>
                      <c:pt idx="28">
                        <c:v>43980</c:v>
                      </c:pt>
                      <c:pt idx="29">
                        <c:v>44012</c:v>
                      </c:pt>
                      <c:pt idx="30">
                        <c:v>44043</c:v>
                      </c:pt>
                      <c:pt idx="31">
                        <c:v>44074</c:v>
                      </c:pt>
                      <c:pt idx="32">
                        <c:v>44104</c:v>
                      </c:pt>
                      <c:pt idx="33">
                        <c:v>44134</c:v>
                      </c:pt>
                      <c:pt idx="34">
                        <c:v>44165</c:v>
                      </c:pt>
                      <c:pt idx="35">
                        <c:v>44196</c:v>
                      </c:pt>
                      <c:pt idx="36">
                        <c:v>44225</c:v>
                      </c:pt>
                      <c:pt idx="37">
                        <c:v>44253</c:v>
                      </c:pt>
                      <c:pt idx="38">
                        <c:v>44286</c:v>
                      </c:pt>
                      <c:pt idx="39">
                        <c:v>44316</c:v>
                      </c:pt>
                      <c:pt idx="40">
                        <c:v>44344</c:v>
                      </c:pt>
                      <c:pt idx="41">
                        <c:v>44377</c:v>
                      </c:pt>
                      <c:pt idx="42">
                        <c:v>44407</c:v>
                      </c:pt>
                      <c:pt idx="43">
                        <c:v>44439</c:v>
                      </c:pt>
                      <c:pt idx="44">
                        <c:v>44469</c:v>
                      </c:pt>
                      <c:pt idx="45">
                        <c:v>44498</c:v>
                      </c:pt>
                      <c:pt idx="46">
                        <c:v>44530</c:v>
                      </c:pt>
                      <c:pt idx="47">
                        <c:v>44561</c:v>
                      </c:pt>
                      <c:pt idx="48">
                        <c:v>44592</c:v>
                      </c:pt>
                      <c:pt idx="49">
                        <c:v>44620</c:v>
                      </c:pt>
                      <c:pt idx="50">
                        <c:v>44651</c:v>
                      </c:pt>
                      <c:pt idx="51">
                        <c:v>44680</c:v>
                      </c:pt>
                      <c:pt idx="52">
                        <c:v>44712</c:v>
                      </c:pt>
                      <c:pt idx="53">
                        <c:v>44742</c:v>
                      </c:pt>
                      <c:pt idx="54">
                        <c:v>44771</c:v>
                      </c:pt>
                      <c:pt idx="55">
                        <c:v>44804</c:v>
                      </c:pt>
                      <c:pt idx="56">
                        <c:v>44834</c:v>
                      </c:pt>
                      <c:pt idx="57">
                        <c:v>44865</c:v>
                      </c:pt>
                      <c:pt idx="58">
                        <c:v>44895</c:v>
                      </c:pt>
                      <c:pt idx="59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'Part2(a)'!$L$3:$L$62</c15:sqref>
                        </c15:formulaRef>
                      </c:ext>
                    </c:extLst>
                    <c:numCache>
                      <c:formatCode>0.0000</c:formatCode>
                      <c:ptCount val="60"/>
                      <c:pt idx="0">
                        <c:v>6.4924816345270905E-2</c:v>
                      </c:pt>
                      <c:pt idx="1">
                        <c:v>-8.0204683241559604E-2</c:v>
                      </c:pt>
                      <c:pt idx="2">
                        <c:v>9.4333917881115101E-2</c:v>
                      </c:pt>
                      <c:pt idx="3">
                        <c:v>-6.7560443718899105E-2</c:v>
                      </c:pt>
                      <c:pt idx="4">
                        <c:v>9.9151833711623505E-2</c:v>
                      </c:pt>
                      <c:pt idx="5">
                        <c:v>-3.1192261710683601E-2</c:v>
                      </c:pt>
                      <c:pt idx="6">
                        <c:v>-2.46010355655631E-2</c:v>
                      </c:pt>
                      <c:pt idx="7">
                        <c:v>1.43759782041621E-2</c:v>
                      </c:pt>
                      <c:pt idx="8">
                        <c:v>1.7772444139665201E-2</c:v>
                      </c:pt>
                      <c:pt idx="9">
                        <c:v>-0.16059923254101</c:v>
                      </c:pt>
                      <c:pt idx="10">
                        <c:v>3.7251990821973301E-2</c:v>
                      </c:pt>
                      <c:pt idx="11">
                        <c:v>-9.4729993493819206E-2</c:v>
                      </c:pt>
                      <c:pt idx="12">
                        <c:v>7.1877566688443306E-2</c:v>
                      </c:pt>
                      <c:pt idx="13">
                        <c:v>-2.4342283699484699E-2</c:v>
                      </c:pt>
                      <c:pt idx="14">
                        <c:v>-4.7258322329557503E-3</c:v>
                      </c:pt>
                      <c:pt idx="15">
                        <c:v>0.118788175245141</c:v>
                      </c:pt>
                      <c:pt idx="16">
                        <c:v>-6.8151700637344402E-3</c:v>
                      </c:pt>
                      <c:pt idx="17">
                        <c:v>3.9011373022428401E-2</c:v>
                      </c:pt>
                      <c:pt idx="18">
                        <c:v>4.2842129168063599E-3</c:v>
                      </c:pt>
                      <c:pt idx="19">
                        <c:v>5.7188537695240802E-3</c:v>
                      </c:pt>
                      <c:pt idx="20">
                        <c:v>3.4423723631916897E-2</c:v>
                      </c:pt>
                      <c:pt idx="21">
                        <c:v>5.1927372621261E-2</c:v>
                      </c:pt>
                      <c:pt idx="22">
                        <c:v>9.4724900737379603E-3</c:v>
                      </c:pt>
                      <c:pt idx="23">
                        <c:v>1.22492554924987E-2</c:v>
                      </c:pt>
                      <c:pt idx="24">
                        <c:v>-2.57762476565945E-2</c:v>
                      </c:pt>
                      <c:pt idx="25">
                        <c:v>-9.7401103955841797E-2</c:v>
                      </c:pt>
                      <c:pt idx="26">
                        <c:v>6.6887501592558501E-3</c:v>
                      </c:pt>
                      <c:pt idx="27">
                        <c:v>3.0406522181416901E-2</c:v>
                      </c:pt>
                      <c:pt idx="28">
                        <c:v>0.105099695633269</c:v>
                      </c:pt>
                      <c:pt idx="29">
                        <c:v>-1.18037209825195E-3</c:v>
                      </c:pt>
                      <c:pt idx="30">
                        <c:v>0.34079879520432199</c:v>
                      </c:pt>
                      <c:pt idx="31">
                        <c:v>3.7785402634811699E-2</c:v>
                      </c:pt>
                      <c:pt idx="32">
                        <c:v>-4.9389771011061699E-2</c:v>
                      </c:pt>
                      <c:pt idx="33">
                        <c:v>-3.03924026502599E-2</c:v>
                      </c:pt>
                      <c:pt idx="34">
                        <c:v>1.4366021236727099E-2</c:v>
                      </c:pt>
                      <c:pt idx="35">
                        <c:v>-3.5626319493314899E-3</c:v>
                      </c:pt>
                      <c:pt idx="36">
                        <c:v>6.0727252908150398E-2</c:v>
                      </c:pt>
                      <c:pt idx="37">
                        <c:v>1.93299509413392E-2</c:v>
                      </c:pt>
                      <c:pt idx="38">
                        <c:v>7.2603866721513893E-2</c:v>
                      </c:pt>
                      <c:pt idx="39">
                        <c:v>0.131054530586562</c:v>
                      </c:pt>
                      <c:pt idx="40">
                        <c:v>-4.9853172164173697E-3</c:v>
                      </c:pt>
                      <c:pt idx="41">
                        <c:v>-1.6334934797529101E-2</c:v>
                      </c:pt>
                      <c:pt idx="42">
                        <c:v>-7.9501832230170991E-3</c:v>
                      </c:pt>
                      <c:pt idx="43">
                        <c:v>-1.42331114573007E-2</c:v>
                      </c:pt>
                      <c:pt idx="44">
                        <c:v>-4.9565404784139101E-2</c:v>
                      </c:pt>
                      <c:pt idx="45">
                        <c:v>0.101865130243741</c:v>
                      </c:pt>
                      <c:pt idx="46">
                        <c:v>1.08087575108777E-2</c:v>
                      </c:pt>
                      <c:pt idx="47">
                        <c:v>6.8907792695842393E-2</c:v>
                      </c:pt>
                      <c:pt idx="48">
                        <c:v>-9.1065062953036804E-2</c:v>
                      </c:pt>
                      <c:pt idx="49">
                        <c:v>-3.3621177802944498E-2</c:v>
                      </c:pt>
                      <c:pt idx="50">
                        <c:v>0.115652237603457</c:v>
                      </c:pt>
                      <c:pt idx="51">
                        <c:v>-0.117741043950067</c:v>
                      </c:pt>
                      <c:pt idx="52">
                        <c:v>-4.1794737236674401E-2</c:v>
                      </c:pt>
                      <c:pt idx="53">
                        <c:v>-6.5759104956382305E-2</c:v>
                      </c:pt>
                      <c:pt idx="54">
                        <c:v>0.157223071945927</c:v>
                      </c:pt>
                      <c:pt idx="55">
                        <c:v>-7.0085782077021798E-3</c:v>
                      </c:pt>
                      <c:pt idx="56">
                        <c:v>-5.35602690879683E-2</c:v>
                      </c:pt>
                      <c:pt idx="57">
                        <c:v>6.2023923479563203E-2</c:v>
                      </c:pt>
                      <c:pt idx="58">
                        <c:v>-7.3073516386182903E-3</c:v>
                      </c:pt>
                      <c:pt idx="59">
                        <c:v>-7.2793516246561094E-2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8A4-4931-9BFC-139A01E5B0FF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'Part2(a)'!$M$2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'Part2(a)'!$A$3:$A$62</c15:sqref>
                        </c15:formulaRef>
                      </c:ext>
                    </c:extLst>
                    <c:numCache>
                      <c:formatCode>m/d/yyyy</c:formatCode>
                      <c:ptCount val="60"/>
                      <c:pt idx="0">
                        <c:v>43131</c:v>
                      </c:pt>
                      <c:pt idx="1">
                        <c:v>43159</c:v>
                      </c:pt>
                      <c:pt idx="2">
                        <c:v>43188</c:v>
                      </c:pt>
                      <c:pt idx="3">
                        <c:v>43220</c:v>
                      </c:pt>
                      <c:pt idx="4">
                        <c:v>43251</c:v>
                      </c:pt>
                      <c:pt idx="5">
                        <c:v>43280</c:v>
                      </c:pt>
                      <c:pt idx="6">
                        <c:v>43312</c:v>
                      </c:pt>
                      <c:pt idx="7">
                        <c:v>43343</c:v>
                      </c:pt>
                      <c:pt idx="8">
                        <c:v>43371</c:v>
                      </c:pt>
                      <c:pt idx="9">
                        <c:v>43404</c:v>
                      </c:pt>
                      <c:pt idx="10">
                        <c:v>43434</c:v>
                      </c:pt>
                      <c:pt idx="11">
                        <c:v>43465</c:v>
                      </c:pt>
                      <c:pt idx="12">
                        <c:v>43496</c:v>
                      </c:pt>
                      <c:pt idx="13">
                        <c:v>43524</c:v>
                      </c:pt>
                      <c:pt idx="14">
                        <c:v>43553</c:v>
                      </c:pt>
                      <c:pt idx="15">
                        <c:v>43585</c:v>
                      </c:pt>
                      <c:pt idx="16">
                        <c:v>43616</c:v>
                      </c:pt>
                      <c:pt idx="17">
                        <c:v>43644</c:v>
                      </c:pt>
                      <c:pt idx="18">
                        <c:v>43677</c:v>
                      </c:pt>
                      <c:pt idx="19">
                        <c:v>43707</c:v>
                      </c:pt>
                      <c:pt idx="20">
                        <c:v>43738</c:v>
                      </c:pt>
                      <c:pt idx="21">
                        <c:v>43769</c:v>
                      </c:pt>
                      <c:pt idx="22">
                        <c:v>43798</c:v>
                      </c:pt>
                      <c:pt idx="23">
                        <c:v>43830</c:v>
                      </c:pt>
                      <c:pt idx="24">
                        <c:v>43861</c:v>
                      </c:pt>
                      <c:pt idx="25">
                        <c:v>43889</c:v>
                      </c:pt>
                      <c:pt idx="26">
                        <c:v>43921</c:v>
                      </c:pt>
                      <c:pt idx="27">
                        <c:v>43951</c:v>
                      </c:pt>
                      <c:pt idx="28">
                        <c:v>43980</c:v>
                      </c:pt>
                      <c:pt idx="29">
                        <c:v>44012</c:v>
                      </c:pt>
                      <c:pt idx="30">
                        <c:v>44043</c:v>
                      </c:pt>
                      <c:pt idx="31">
                        <c:v>44074</c:v>
                      </c:pt>
                      <c:pt idx="32">
                        <c:v>44104</c:v>
                      </c:pt>
                      <c:pt idx="33">
                        <c:v>44134</c:v>
                      </c:pt>
                      <c:pt idx="34">
                        <c:v>44165</c:v>
                      </c:pt>
                      <c:pt idx="35">
                        <c:v>44196</c:v>
                      </c:pt>
                      <c:pt idx="36">
                        <c:v>44225</c:v>
                      </c:pt>
                      <c:pt idx="37">
                        <c:v>44253</c:v>
                      </c:pt>
                      <c:pt idx="38">
                        <c:v>44286</c:v>
                      </c:pt>
                      <c:pt idx="39">
                        <c:v>44316</c:v>
                      </c:pt>
                      <c:pt idx="40">
                        <c:v>44344</c:v>
                      </c:pt>
                      <c:pt idx="41">
                        <c:v>44377</c:v>
                      </c:pt>
                      <c:pt idx="42">
                        <c:v>44407</c:v>
                      </c:pt>
                      <c:pt idx="43">
                        <c:v>44439</c:v>
                      </c:pt>
                      <c:pt idx="44">
                        <c:v>44469</c:v>
                      </c:pt>
                      <c:pt idx="45">
                        <c:v>44498</c:v>
                      </c:pt>
                      <c:pt idx="46">
                        <c:v>44530</c:v>
                      </c:pt>
                      <c:pt idx="47">
                        <c:v>44561</c:v>
                      </c:pt>
                      <c:pt idx="48">
                        <c:v>44592</c:v>
                      </c:pt>
                      <c:pt idx="49">
                        <c:v>44620</c:v>
                      </c:pt>
                      <c:pt idx="50">
                        <c:v>44651</c:v>
                      </c:pt>
                      <c:pt idx="51">
                        <c:v>44680</c:v>
                      </c:pt>
                      <c:pt idx="52">
                        <c:v>44712</c:v>
                      </c:pt>
                      <c:pt idx="53">
                        <c:v>44742</c:v>
                      </c:pt>
                      <c:pt idx="54">
                        <c:v>44771</c:v>
                      </c:pt>
                      <c:pt idx="55">
                        <c:v>44804</c:v>
                      </c:pt>
                      <c:pt idx="56">
                        <c:v>44834</c:v>
                      </c:pt>
                      <c:pt idx="57">
                        <c:v>44865</c:v>
                      </c:pt>
                      <c:pt idx="58">
                        <c:v>44895</c:v>
                      </c:pt>
                      <c:pt idx="59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'Part2(a)'!$M$3:$M$62</c15:sqref>
                        </c15:formulaRef>
                      </c:ext>
                    </c:extLst>
                    <c:numCache>
                      <c:formatCode>0.0000</c:formatCode>
                      <c:ptCount val="60"/>
                      <c:pt idx="0">
                        <c:v>6.25E-2</c:v>
                      </c:pt>
                      <c:pt idx="1">
                        <c:v>-9.2436974789915999E-2</c:v>
                      </c:pt>
                      <c:pt idx="2">
                        <c:v>-8.3333333333333398E-2</c:v>
                      </c:pt>
                      <c:pt idx="3">
                        <c:v>1.0101010101010201E-2</c:v>
                      </c:pt>
                      <c:pt idx="4">
                        <c:v>0.12</c:v>
                      </c:pt>
                      <c:pt idx="5">
                        <c:v>-3.5714285714285698E-2</c:v>
                      </c:pt>
                      <c:pt idx="6">
                        <c:v>-2.7777777777777801E-2</c:v>
                      </c:pt>
                      <c:pt idx="7">
                        <c:v>2.8571428571428501E-2</c:v>
                      </c:pt>
                      <c:pt idx="8">
                        <c:v>-3.7037037037037097E-2</c:v>
                      </c:pt>
                      <c:pt idx="9">
                        <c:v>-1.9230769230769301E-2</c:v>
                      </c:pt>
                      <c:pt idx="10">
                        <c:v>-1.5686274509803901E-2</c:v>
                      </c:pt>
                      <c:pt idx="11">
                        <c:v>-0.21115537848605601</c:v>
                      </c:pt>
                      <c:pt idx="12">
                        <c:v>0.31565656565656602</c:v>
                      </c:pt>
                      <c:pt idx="13">
                        <c:v>-4.0307101727447198E-2</c:v>
                      </c:pt>
                      <c:pt idx="14">
                        <c:v>-7.5999999999999998E-2</c:v>
                      </c:pt>
                      <c:pt idx="15">
                        <c:v>-5.62770562770563E-2</c:v>
                      </c:pt>
                      <c:pt idx="16">
                        <c:v>-0.18119266055045899</c:v>
                      </c:pt>
                      <c:pt idx="17">
                        <c:v>0.165266106442577</c:v>
                      </c:pt>
                      <c:pt idx="18">
                        <c:v>0.12740384615384601</c:v>
                      </c:pt>
                      <c:pt idx="19">
                        <c:v>-6.1833688699360297E-2</c:v>
                      </c:pt>
                      <c:pt idx="20">
                        <c:v>6.8181818181818094E-2</c:v>
                      </c:pt>
                      <c:pt idx="21">
                        <c:v>3.1914893617021302E-2</c:v>
                      </c:pt>
                      <c:pt idx="22">
                        <c:v>-4.3298969072164899E-2</c:v>
                      </c:pt>
                      <c:pt idx="23">
                        <c:v>-5.6034482758620698E-2</c:v>
                      </c:pt>
                      <c:pt idx="24">
                        <c:v>-1.8264840182648401E-2</c:v>
                      </c:pt>
                      <c:pt idx="25">
                        <c:v>-0.13720930232558101</c:v>
                      </c:pt>
                      <c:pt idx="26">
                        <c:v>-0.23180592991913801</c:v>
                      </c:pt>
                      <c:pt idx="27">
                        <c:v>0.66315789473684195</c:v>
                      </c:pt>
                      <c:pt idx="28">
                        <c:v>6.3291139240506701E-3</c:v>
                      </c:pt>
                      <c:pt idx="29">
                        <c:v>0.21174004192872101</c:v>
                      </c:pt>
                      <c:pt idx="30">
                        <c:v>0.12802768166090001</c:v>
                      </c:pt>
                      <c:pt idx="31">
                        <c:v>-3.6809815950920297E-2</c:v>
                      </c:pt>
                      <c:pt idx="32">
                        <c:v>0.224522292993631</c:v>
                      </c:pt>
                      <c:pt idx="33">
                        <c:v>0.47334200260078002</c:v>
                      </c:pt>
                      <c:pt idx="34">
                        <c:v>0.13592233009708701</c:v>
                      </c:pt>
                      <c:pt idx="35">
                        <c:v>-8.5470085470085201E-3</c:v>
                      </c:pt>
                      <c:pt idx="36">
                        <c:v>0.46394984326018801</c:v>
                      </c:pt>
                      <c:pt idx="37">
                        <c:v>0.109743040685225</c:v>
                      </c:pt>
                      <c:pt idx="38">
                        <c:v>-8.0559575494452501E-2</c:v>
                      </c:pt>
                      <c:pt idx="39">
                        <c:v>-0.105456453305351</c:v>
                      </c:pt>
                      <c:pt idx="40">
                        <c:v>-0.117888563049853</c:v>
                      </c:pt>
                      <c:pt idx="41">
                        <c:v>-6.8484042553191501E-2</c:v>
                      </c:pt>
                      <c:pt idx="42">
                        <c:v>-0.184867951463241</c:v>
                      </c:pt>
                      <c:pt idx="43">
                        <c:v>-8.3187390542907094E-2</c:v>
                      </c:pt>
                      <c:pt idx="44">
                        <c:v>9.3600764087870006E-2</c:v>
                      </c:pt>
                      <c:pt idx="45">
                        <c:v>-1.22270742358078E-2</c:v>
                      </c:pt>
                      <c:pt idx="46">
                        <c:v>-9.0185676392572897E-2</c:v>
                      </c:pt>
                      <c:pt idx="47">
                        <c:v>-1.1661807580174899E-2</c:v>
                      </c:pt>
                      <c:pt idx="48">
                        <c:v>8.6529006882989104E-2</c:v>
                      </c:pt>
                      <c:pt idx="49">
                        <c:v>-2.8959276018099601E-2</c:v>
                      </c:pt>
                      <c:pt idx="50">
                        <c:v>-7.08294501397949E-2</c:v>
                      </c:pt>
                      <c:pt idx="51">
                        <c:v>-0.24072216649949901</c:v>
                      </c:pt>
                      <c:pt idx="52">
                        <c:v>0.10700132100396299</c:v>
                      </c:pt>
                      <c:pt idx="53">
                        <c:v>0.110978520286396</c:v>
                      </c:pt>
                      <c:pt idx="54">
                        <c:v>1.6111707841031098E-2</c:v>
                      </c:pt>
                      <c:pt idx="55">
                        <c:v>1.90274841437632E-2</c:v>
                      </c:pt>
                      <c:pt idx="56">
                        <c:v>-0.21058091286307101</c:v>
                      </c:pt>
                      <c:pt idx="57">
                        <c:v>0.21550591327201099</c:v>
                      </c:pt>
                      <c:pt idx="58">
                        <c:v>0.18810810810810799</c:v>
                      </c:pt>
                      <c:pt idx="59">
                        <c:v>-0.237488626023658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8A4-4931-9BFC-139A01E5B0FF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'Part2(a)'!$N$2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'Part2(a)'!$A$3:$A$62</c15:sqref>
                        </c15:formulaRef>
                      </c:ext>
                    </c:extLst>
                    <c:numCache>
                      <c:formatCode>m/d/yyyy</c:formatCode>
                      <c:ptCount val="60"/>
                      <c:pt idx="0">
                        <c:v>43131</c:v>
                      </c:pt>
                      <c:pt idx="1">
                        <c:v>43159</c:v>
                      </c:pt>
                      <c:pt idx="2">
                        <c:v>43188</c:v>
                      </c:pt>
                      <c:pt idx="3">
                        <c:v>43220</c:v>
                      </c:pt>
                      <c:pt idx="4">
                        <c:v>43251</c:v>
                      </c:pt>
                      <c:pt idx="5">
                        <c:v>43280</c:v>
                      </c:pt>
                      <c:pt idx="6">
                        <c:v>43312</c:v>
                      </c:pt>
                      <c:pt idx="7">
                        <c:v>43343</c:v>
                      </c:pt>
                      <c:pt idx="8">
                        <c:v>43371</c:v>
                      </c:pt>
                      <c:pt idx="9">
                        <c:v>43404</c:v>
                      </c:pt>
                      <c:pt idx="10">
                        <c:v>43434</c:v>
                      </c:pt>
                      <c:pt idx="11">
                        <c:v>43465</c:v>
                      </c:pt>
                      <c:pt idx="12">
                        <c:v>43496</c:v>
                      </c:pt>
                      <c:pt idx="13">
                        <c:v>43524</c:v>
                      </c:pt>
                      <c:pt idx="14">
                        <c:v>43553</c:v>
                      </c:pt>
                      <c:pt idx="15">
                        <c:v>43585</c:v>
                      </c:pt>
                      <c:pt idx="16">
                        <c:v>43616</c:v>
                      </c:pt>
                      <c:pt idx="17">
                        <c:v>43644</c:v>
                      </c:pt>
                      <c:pt idx="18">
                        <c:v>43677</c:v>
                      </c:pt>
                      <c:pt idx="19">
                        <c:v>43707</c:v>
                      </c:pt>
                      <c:pt idx="20">
                        <c:v>43738</c:v>
                      </c:pt>
                      <c:pt idx="21">
                        <c:v>43769</c:v>
                      </c:pt>
                      <c:pt idx="22">
                        <c:v>43798</c:v>
                      </c:pt>
                      <c:pt idx="23">
                        <c:v>43830</c:v>
                      </c:pt>
                      <c:pt idx="24">
                        <c:v>43861</c:v>
                      </c:pt>
                      <c:pt idx="25">
                        <c:v>43889</c:v>
                      </c:pt>
                      <c:pt idx="26">
                        <c:v>43921</c:v>
                      </c:pt>
                      <c:pt idx="27">
                        <c:v>43951</c:v>
                      </c:pt>
                      <c:pt idx="28">
                        <c:v>43980</c:v>
                      </c:pt>
                      <c:pt idx="29">
                        <c:v>44012</c:v>
                      </c:pt>
                      <c:pt idx="30">
                        <c:v>44043</c:v>
                      </c:pt>
                      <c:pt idx="31">
                        <c:v>44074</c:v>
                      </c:pt>
                      <c:pt idx="32">
                        <c:v>44104</c:v>
                      </c:pt>
                      <c:pt idx="33">
                        <c:v>44134</c:v>
                      </c:pt>
                      <c:pt idx="34">
                        <c:v>44165</c:v>
                      </c:pt>
                      <c:pt idx="35">
                        <c:v>44196</c:v>
                      </c:pt>
                      <c:pt idx="36">
                        <c:v>44225</c:v>
                      </c:pt>
                      <c:pt idx="37">
                        <c:v>44253</c:v>
                      </c:pt>
                      <c:pt idx="38">
                        <c:v>44286</c:v>
                      </c:pt>
                      <c:pt idx="39">
                        <c:v>44316</c:v>
                      </c:pt>
                      <c:pt idx="40">
                        <c:v>44344</c:v>
                      </c:pt>
                      <c:pt idx="41">
                        <c:v>44377</c:v>
                      </c:pt>
                      <c:pt idx="42">
                        <c:v>44407</c:v>
                      </c:pt>
                      <c:pt idx="43">
                        <c:v>44439</c:v>
                      </c:pt>
                      <c:pt idx="44">
                        <c:v>44469</c:v>
                      </c:pt>
                      <c:pt idx="45">
                        <c:v>44498</c:v>
                      </c:pt>
                      <c:pt idx="46">
                        <c:v>44530</c:v>
                      </c:pt>
                      <c:pt idx="47">
                        <c:v>44561</c:v>
                      </c:pt>
                      <c:pt idx="48">
                        <c:v>44592</c:v>
                      </c:pt>
                      <c:pt idx="49">
                        <c:v>44620</c:v>
                      </c:pt>
                      <c:pt idx="50">
                        <c:v>44651</c:v>
                      </c:pt>
                      <c:pt idx="51">
                        <c:v>44680</c:v>
                      </c:pt>
                      <c:pt idx="52">
                        <c:v>44712</c:v>
                      </c:pt>
                      <c:pt idx="53">
                        <c:v>44742</c:v>
                      </c:pt>
                      <c:pt idx="54">
                        <c:v>44771</c:v>
                      </c:pt>
                      <c:pt idx="55">
                        <c:v>44804</c:v>
                      </c:pt>
                      <c:pt idx="56">
                        <c:v>44834</c:v>
                      </c:pt>
                      <c:pt idx="57">
                        <c:v>44865</c:v>
                      </c:pt>
                      <c:pt idx="58">
                        <c:v>44895</c:v>
                      </c:pt>
                      <c:pt idx="59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'Part2(a)'!$N$3:$N$62</c15:sqref>
                        </c15:formulaRef>
                      </c:ext>
                    </c:extLst>
                    <c:numCache>
                      <c:formatCode>0.0000</c:formatCode>
                      <c:ptCount val="60"/>
                      <c:pt idx="0">
                        <c:v>1.6118836915297099E-2</c:v>
                      </c:pt>
                      <c:pt idx="1">
                        <c:v>-0.17408884982081299</c:v>
                      </c:pt>
                      <c:pt idx="2">
                        <c:v>5.1893939393939499E-2</c:v>
                      </c:pt>
                      <c:pt idx="3">
                        <c:v>0.300324090745409</c:v>
                      </c:pt>
                      <c:pt idx="4">
                        <c:v>-3.7342344916969701E-2</c:v>
                      </c:pt>
                      <c:pt idx="5">
                        <c:v>-4.50997398091934E-2</c:v>
                      </c:pt>
                      <c:pt idx="6">
                        <c:v>4.6927036027853503E-2</c:v>
                      </c:pt>
                      <c:pt idx="7">
                        <c:v>-4.15288265754113E-2</c:v>
                      </c:pt>
                      <c:pt idx="8">
                        <c:v>2.60843190779496E-2</c:v>
                      </c:pt>
                      <c:pt idx="9">
                        <c:v>-0.21105527638190999</c:v>
                      </c:pt>
                      <c:pt idx="10">
                        <c:v>-0.13838728741217399</c:v>
                      </c:pt>
                      <c:pt idx="11">
                        <c:v>-5.7843996494303301E-2</c:v>
                      </c:pt>
                      <c:pt idx="12">
                        <c:v>9.6279069767441799E-2</c:v>
                      </c:pt>
                      <c:pt idx="13">
                        <c:v>0.12749283666373701</c:v>
                      </c:pt>
                      <c:pt idx="14">
                        <c:v>5.0796057619408599E-2</c:v>
                      </c:pt>
                      <c:pt idx="15">
                        <c:v>-0.133477633477634</c:v>
                      </c:pt>
                      <c:pt idx="16">
                        <c:v>-0.101770601212887</c:v>
                      </c:pt>
                      <c:pt idx="17">
                        <c:v>0.150397010742644</c:v>
                      </c:pt>
                      <c:pt idx="18">
                        <c:v>3.0856678846934701E-2</c:v>
                      </c:pt>
                      <c:pt idx="19">
                        <c:v>-0.13916094241531499</c:v>
                      </c:pt>
                      <c:pt idx="20">
                        <c:v>6.96173351775011E-2</c:v>
                      </c:pt>
                      <c:pt idx="21">
                        <c:v>-7.7586206896551699E-2</c:v>
                      </c:pt>
                      <c:pt idx="22">
                        <c:v>5.6204286875253903E-2</c:v>
                      </c:pt>
                      <c:pt idx="23">
                        <c:v>0.14317573595004501</c:v>
                      </c:pt>
                      <c:pt idx="24">
                        <c:v>-0.14787358564182601</c:v>
                      </c:pt>
                      <c:pt idx="25">
                        <c:v>-0.25715604801477399</c:v>
                      </c:pt>
                      <c:pt idx="26">
                        <c:v>-0.34742075823492902</c:v>
                      </c:pt>
                      <c:pt idx="27">
                        <c:v>0.32857142857142901</c:v>
                      </c:pt>
                      <c:pt idx="28">
                        <c:v>0.19760197986004399</c:v>
                      </c:pt>
                      <c:pt idx="29">
                        <c:v>-6.7837674136886697E-2</c:v>
                      </c:pt>
                      <c:pt idx="30">
                        <c:v>6.4977257959713004E-3</c:v>
                      </c:pt>
                      <c:pt idx="31">
                        <c:v>-6.8100470138033706E-2</c:v>
                      </c:pt>
                      <c:pt idx="32">
                        <c:v>-6.9327731092437006E-2</c:v>
                      </c:pt>
                      <c:pt idx="33">
                        <c:v>0.11136192626034599</c:v>
                      </c:pt>
                      <c:pt idx="34">
                        <c:v>0.28208640385721701</c:v>
                      </c:pt>
                      <c:pt idx="35">
                        <c:v>0.113782051282051</c:v>
                      </c:pt>
                      <c:pt idx="36">
                        <c:v>-3.6450839328537203E-2</c:v>
                      </c:pt>
                      <c:pt idx="37">
                        <c:v>0.22824319387589601</c:v>
                      </c:pt>
                      <c:pt idx="38">
                        <c:v>-0.117238562091503</c:v>
                      </c:pt>
                      <c:pt idx="39">
                        <c:v>-7.0800555298472997E-2</c:v>
                      </c:pt>
                      <c:pt idx="40">
                        <c:v>0.22383626527686501</c:v>
                      </c:pt>
                      <c:pt idx="41">
                        <c:v>-6.2704918032786897E-2</c:v>
                      </c:pt>
                      <c:pt idx="42">
                        <c:v>-7.1272409269785703E-2</c:v>
                      </c:pt>
                      <c:pt idx="43">
                        <c:v>8.1658375592362997E-2</c:v>
                      </c:pt>
                      <c:pt idx="44">
                        <c:v>8.5601404741001003E-2</c:v>
                      </c:pt>
                      <c:pt idx="45">
                        <c:v>1.4152850788516001E-2</c:v>
                      </c:pt>
                      <c:pt idx="46">
                        <c:v>-6.2887794315841294E-2</c:v>
                      </c:pt>
                      <c:pt idx="47">
                        <c:v>3.0848329048843302E-2</c:v>
                      </c:pt>
                      <c:pt idx="48">
                        <c:v>0.14048212801330001</c:v>
                      </c:pt>
                      <c:pt idx="49">
                        <c:v>7.7947769662853703E-2</c:v>
                      </c:pt>
                      <c:pt idx="50">
                        <c:v>0.23927842069435001</c:v>
                      </c:pt>
                      <c:pt idx="51">
                        <c:v>-0.14803625377643501</c:v>
                      </c:pt>
                      <c:pt idx="52">
                        <c:v>0.16551226386072401</c:v>
                      </c:pt>
                      <c:pt idx="53">
                        <c:v>-0.19760978321289599</c:v>
                      </c:pt>
                      <c:pt idx="54">
                        <c:v>-0.110148943540007</c:v>
                      </c:pt>
                      <c:pt idx="55">
                        <c:v>-9.4456053708739107E-3</c:v>
                      </c:pt>
                      <c:pt idx="56">
                        <c:v>-0.170229612034838</c:v>
                      </c:pt>
                      <c:pt idx="57">
                        <c:v>0.31965648854961798</c:v>
                      </c:pt>
                      <c:pt idx="58">
                        <c:v>5.6016362002855098E-2</c:v>
                      </c:pt>
                      <c:pt idx="59">
                        <c:v>1.75740868366643E-2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8A4-4931-9BFC-139A01E5B0FF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'Part2(a)'!$O$2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'Part2(a)'!$A$3:$A$62</c15:sqref>
                        </c15:formulaRef>
                      </c:ext>
                    </c:extLst>
                    <c:numCache>
                      <c:formatCode>m/d/yyyy</c:formatCode>
                      <c:ptCount val="60"/>
                      <c:pt idx="0">
                        <c:v>43131</c:v>
                      </c:pt>
                      <c:pt idx="1">
                        <c:v>43159</c:v>
                      </c:pt>
                      <c:pt idx="2">
                        <c:v>43188</c:v>
                      </c:pt>
                      <c:pt idx="3">
                        <c:v>43220</c:v>
                      </c:pt>
                      <c:pt idx="4">
                        <c:v>43251</c:v>
                      </c:pt>
                      <c:pt idx="5">
                        <c:v>43280</c:v>
                      </c:pt>
                      <c:pt idx="6">
                        <c:v>43312</c:v>
                      </c:pt>
                      <c:pt idx="7">
                        <c:v>43343</c:v>
                      </c:pt>
                      <c:pt idx="8">
                        <c:v>43371</c:v>
                      </c:pt>
                      <c:pt idx="9">
                        <c:v>43404</c:v>
                      </c:pt>
                      <c:pt idx="10">
                        <c:v>43434</c:v>
                      </c:pt>
                      <c:pt idx="11">
                        <c:v>43465</c:v>
                      </c:pt>
                      <c:pt idx="12">
                        <c:v>43496</c:v>
                      </c:pt>
                      <c:pt idx="13">
                        <c:v>43524</c:v>
                      </c:pt>
                      <c:pt idx="14">
                        <c:v>43553</c:v>
                      </c:pt>
                      <c:pt idx="15">
                        <c:v>43585</c:v>
                      </c:pt>
                      <c:pt idx="16">
                        <c:v>43616</c:v>
                      </c:pt>
                      <c:pt idx="17">
                        <c:v>43644</c:v>
                      </c:pt>
                      <c:pt idx="18">
                        <c:v>43677</c:v>
                      </c:pt>
                      <c:pt idx="19">
                        <c:v>43707</c:v>
                      </c:pt>
                      <c:pt idx="20">
                        <c:v>43738</c:v>
                      </c:pt>
                      <c:pt idx="21">
                        <c:v>43769</c:v>
                      </c:pt>
                      <c:pt idx="22">
                        <c:v>43798</c:v>
                      </c:pt>
                      <c:pt idx="23">
                        <c:v>43830</c:v>
                      </c:pt>
                      <c:pt idx="24">
                        <c:v>43861</c:v>
                      </c:pt>
                      <c:pt idx="25">
                        <c:v>43889</c:v>
                      </c:pt>
                      <c:pt idx="26">
                        <c:v>43921</c:v>
                      </c:pt>
                      <c:pt idx="27">
                        <c:v>43951</c:v>
                      </c:pt>
                      <c:pt idx="28">
                        <c:v>43980</c:v>
                      </c:pt>
                      <c:pt idx="29">
                        <c:v>44012</c:v>
                      </c:pt>
                      <c:pt idx="30">
                        <c:v>44043</c:v>
                      </c:pt>
                      <c:pt idx="31">
                        <c:v>44074</c:v>
                      </c:pt>
                      <c:pt idx="32">
                        <c:v>44104</c:v>
                      </c:pt>
                      <c:pt idx="33">
                        <c:v>44134</c:v>
                      </c:pt>
                      <c:pt idx="34">
                        <c:v>44165</c:v>
                      </c:pt>
                      <c:pt idx="35">
                        <c:v>44196</c:v>
                      </c:pt>
                      <c:pt idx="36">
                        <c:v>44225</c:v>
                      </c:pt>
                      <c:pt idx="37">
                        <c:v>44253</c:v>
                      </c:pt>
                      <c:pt idx="38">
                        <c:v>44286</c:v>
                      </c:pt>
                      <c:pt idx="39">
                        <c:v>44316</c:v>
                      </c:pt>
                      <c:pt idx="40">
                        <c:v>44344</c:v>
                      </c:pt>
                      <c:pt idx="41">
                        <c:v>44377</c:v>
                      </c:pt>
                      <c:pt idx="42">
                        <c:v>44407</c:v>
                      </c:pt>
                      <c:pt idx="43">
                        <c:v>44439</c:v>
                      </c:pt>
                      <c:pt idx="44">
                        <c:v>44469</c:v>
                      </c:pt>
                      <c:pt idx="45">
                        <c:v>44498</c:v>
                      </c:pt>
                      <c:pt idx="46">
                        <c:v>44530</c:v>
                      </c:pt>
                      <c:pt idx="47">
                        <c:v>44561</c:v>
                      </c:pt>
                      <c:pt idx="48">
                        <c:v>44592</c:v>
                      </c:pt>
                      <c:pt idx="49">
                        <c:v>44620</c:v>
                      </c:pt>
                      <c:pt idx="50">
                        <c:v>44651</c:v>
                      </c:pt>
                      <c:pt idx="51">
                        <c:v>44680</c:v>
                      </c:pt>
                      <c:pt idx="52">
                        <c:v>44712</c:v>
                      </c:pt>
                      <c:pt idx="53">
                        <c:v>44742</c:v>
                      </c:pt>
                      <c:pt idx="54">
                        <c:v>44771</c:v>
                      </c:pt>
                      <c:pt idx="55">
                        <c:v>44804</c:v>
                      </c:pt>
                      <c:pt idx="56">
                        <c:v>44834</c:v>
                      </c:pt>
                      <c:pt idx="57">
                        <c:v>44865</c:v>
                      </c:pt>
                      <c:pt idx="58">
                        <c:v>44895</c:v>
                      </c:pt>
                      <c:pt idx="59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'Part2(a)'!$O$3:$O$62</c15:sqref>
                        </c15:formulaRef>
                      </c:ext>
                    </c:extLst>
                    <c:numCache>
                      <c:formatCode>0.0000</c:formatCode>
                      <c:ptCount val="60"/>
                      <c:pt idx="0">
                        <c:v>-3.5965205754432961E-2</c:v>
                      </c:pt>
                      <c:pt idx="1">
                        <c:v>-8.4504598299496747E-2</c:v>
                      </c:pt>
                      <c:pt idx="2">
                        <c:v>-2.1685051998958427E-2</c:v>
                      </c:pt>
                      <c:pt idx="3">
                        <c:v>-3.7908242612752718E-2</c:v>
                      </c:pt>
                      <c:pt idx="4">
                        <c:v>2.2630834512022524E-2</c:v>
                      </c:pt>
                      <c:pt idx="5">
                        <c:v>0.12008606713655867</c:v>
                      </c:pt>
                      <c:pt idx="6">
                        <c:v>-3.5227473889183902E-2</c:v>
                      </c:pt>
                      <c:pt idx="7">
                        <c:v>-1.4862385321100957E-2</c:v>
                      </c:pt>
                      <c:pt idx="8">
                        <c:v>8.4655143532727628E-2</c:v>
                      </c:pt>
                      <c:pt idx="9">
                        <c:v>-8.0964685615848575E-3</c:v>
                      </c:pt>
                      <c:pt idx="10">
                        <c:v>-6.0784994789857549E-2</c:v>
                      </c:pt>
                      <c:pt idx="11">
                        <c:v>-0.18625392314181721</c:v>
                      </c:pt>
                      <c:pt idx="12">
                        <c:v>0.12725199543899657</c:v>
                      </c:pt>
                      <c:pt idx="13">
                        <c:v>1.7802953671859134E-2</c:v>
                      </c:pt>
                      <c:pt idx="14">
                        <c:v>-5.0190938629476878E-2</c:v>
                      </c:pt>
                      <c:pt idx="15">
                        <c:v>7.9185045158580047E-2</c:v>
                      </c:pt>
                      <c:pt idx="16">
                        <c:v>-5.6636823666796454E-2</c:v>
                      </c:pt>
                      <c:pt idx="17">
                        <c:v>3.6230641088378812E-2</c:v>
                      </c:pt>
                      <c:pt idx="18">
                        <c:v>2.877697841726623E-2</c:v>
                      </c:pt>
                      <c:pt idx="19">
                        <c:v>-0.12587412587412583</c:v>
                      </c:pt>
                      <c:pt idx="20">
                        <c:v>-3.2897101449275379E-2</c:v>
                      </c:pt>
                      <c:pt idx="21">
                        <c:v>-7.8431372549019662E-2</c:v>
                      </c:pt>
                      <c:pt idx="22">
                        <c:v>9.8372966207759704E-2</c:v>
                      </c:pt>
                      <c:pt idx="23">
                        <c:v>2.8085158898155216E-2</c:v>
                      </c:pt>
                      <c:pt idx="24">
                        <c:v>-0.15355471361711615</c:v>
                      </c:pt>
                      <c:pt idx="25">
                        <c:v>-0.21011058451816744</c:v>
                      </c:pt>
                      <c:pt idx="26">
                        <c:v>-0.39869160554197225</c:v>
                      </c:pt>
                      <c:pt idx="27">
                        <c:v>0.10095344924284921</c:v>
                      </c:pt>
                      <c:pt idx="28">
                        <c:v>0.24961793173713698</c:v>
                      </c:pt>
                      <c:pt idx="29">
                        <c:v>5.3290667640443434E-2</c:v>
                      </c:pt>
                      <c:pt idx="30">
                        <c:v>8.3593749999999911E-2</c:v>
                      </c:pt>
                      <c:pt idx="31">
                        <c:v>0.10093727469358327</c:v>
                      </c:pt>
                      <c:pt idx="32">
                        <c:v>-8.7082383920011885E-4</c:v>
                      </c:pt>
                      <c:pt idx="33">
                        <c:v>-1.4196104324859737E-2</c:v>
                      </c:pt>
                      <c:pt idx="34">
                        <c:v>0.22170127260549233</c:v>
                      </c:pt>
                      <c:pt idx="35">
                        <c:v>4.376910177026283E-2</c:v>
                      </c:pt>
                      <c:pt idx="36">
                        <c:v>0.28662083553675299</c:v>
                      </c:pt>
                      <c:pt idx="37">
                        <c:v>0.32059186189889033</c:v>
                      </c:pt>
                      <c:pt idx="38">
                        <c:v>-0.2640916879861086</c:v>
                      </c:pt>
                      <c:pt idx="39">
                        <c:v>-4.1763832944668233E-2</c:v>
                      </c:pt>
                      <c:pt idx="40">
                        <c:v>2.9646017699115124E-2</c:v>
                      </c:pt>
                      <c:pt idx="41">
                        <c:v>4.6385485341746469E-2</c:v>
                      </c:pt>
                      <c:pt idx="42">
                        <c:v>-8.0908152734778138E-2</c:v>
                      </c:pt>
                      <c:pt idx="43">
                        <c:v>3.256231753873795E-2</c:v>
                      </c:pt>
                      <c:pt idx="44">
                        <c:v>-7.9949133704826369E-2</c:v>
                      </c:pt>
                      <c:pt idx="45">
                        <c:v>-7.4637508913715234E-2</c:v>
                      </c:pt>
                      <c:pt idx="46">
                        <c:v>-0.14307731826354997</c:v>
                      </c:pt>
                      <c:pt idx="47">
                        <c:v>7.6302011825655214E-3</c:v>
                      </c:pt>
                      <c:pt idx="48">
                        <c:v>9.6194186394965575E-2</c:v>
                      </c:pt>
                      <c:pt idx="49">
                        <c:v>-6.9163477310005494E-2</c:v>
                      </c:pt>
                      <c:pt idx="50">
                        <c:v>0.19415737922524889</c:v>
                      </c:pt>
                      <c:pt idx="51">
                        <c:v>-0.21925266023261569</c:v>
                      </c:pt>
                      <c:pt idx="52">
                        <c:v>0.16830427892234545</c:v>
                      </c:pt>
                      <c:pt idx="53">
                        <c:v>-0.25410588326486316</c:v>
                      </c:pt>
                      <c:pt idx="54">
                        <c:v>-8.0704328686720395E-3</c:v>
                      </c:pt>
                      <c:pt idx="55">
                        <c:v>-2.2928994082840215E-2</c:v>
                      </c:pt>
                      <c:pt idx="56">
                        <c:v>-0.17690983164619478</c:v>
                      </c:pt>
                      <c:pt idx="57">
                        <c:v>-2.1355617455895981E-2</c:v>
                      </c:pt>
                      <c:pt idx="58">
                        <c:v>8.5388994307400434E-2</c:v>
                      </c:pt>
                      <c:pt idx="59">
                        <c:v>-0.13355258129848291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8A4-4931-9BFC-139A01E5B0FF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'Part2(a)'!$P$2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'Part2(a)'!$A$3:$A$62</c15:sqref>
                        </c15:formulaRef>
                      </c:ext>
                    </c:extLst>
                    <c:numCache>
                      <c:formatCode>m/d/yyyy</c:formatCode>
                      <c:ptCount val="60"/>
                      <c:pt idx="0">
                        <c:v>43131</c:v>
                      </c:pt>
                      <c:pt idx="1">
                        <c:v>43159</c:v>
                      </c:pt>
                      <c:pt idx="2">
                        <c:v>43188</c:v>
                      </c:pt>
                      <c:pt idx="3">
                        <c:v>43220</c:v>
                      </c:pt>
                      <c:pt idx="4">
                        <c:v>43251</c:v>
                      </c:pt>
                      <c:pt idx="5">
                        <c:v>43280</c:v>
                      </c:pt>
                      <c:pt idx="6">
                        <c:v>43312</c:v>
                      </c:pt>
                      <c:pt idx="7">
                        <c:v>43343</c:v>
                      </c:pt>
                      <c:pt idx="8">
                        <c:v>43371</c:v>
                      </c:pt>
                      <c:pt idx="9">
                        <c:v>43404</c:v>
                      </c:pt>
                      <c:pt idx="10">
                        <c:v>43434</c:v>
                      </c:pt>
                      <c:pt idx="11">
                        <c:v>43465</c:v>
                      </c:pt>
                      <c:pt idx="12">
                        <c:v>43496</c:v>
                      </c:pt>
                      <c:pt idx="13">
                        <c:v>43524</c:v>
                      </c:pt>
                      <c:pt idx="14">
                        <c:v>43553</c:v>
                      </c:pt>
                      <c:pt idx="15">
                        <c:v>43585</c:v>
                      </c:pt>
                      <c:pt idx="16">
                        <c:v>43616</c:v>
                      </c:pt>
                      <c:pt idx="17">
                        <c:v>43644</c:v>
                      </c:pt>
                      <c:pt idx="18">
                        <c:v>43677</c:v>
                      </c:pt>
                      <c:pt idx="19">
                        <c:v>43707</c:v>
                      </c:pt>
                      <c:pt idx="20">
                        <c:v>43738</c:v>
                      </c:pt>
                      <c:pt idx="21">
                        <c:v>43769</c:v>
                      </c:pt>
                      <c:pt idx="22">
                        <c:v>43798</c:v>
                      </c:pt>
                      <c:pt idx="23">
                        <c:v>43830</c:v>
                      </c:pt>
                      <c:pt idx="24">
                        <c:v>43861</c:v>
                      </c:pt>
                      <c:pt idx="25">
                        <c:v>43889</c:v>
                      </c:pt>
                      <c:pt idx="26">
                        <c:v>43921</c:v>
                      </c:pt>
                      <c:pt idx="27">
                        <c:v>43951</c:v>
                      </c:pt>
                      <c:pt idx="28">
                        <c:v>43980</c:v>
                      </c:pt>
                      <c:pt idx="29">
                        <c:v>44012</c:v>
                      </c:pt>
                      <c:pt idx="30">
                        <c:v>44043</c:v>
                      </c:pt>
                      <c:pt idx="31">
                        <c:v>44074</c:v>
                      </c:pt>
                      <c:pt idx="32">
                        <c:v>44104</c:v>
                      </c:pt>
                      <c:pt idx="33">
                        <c:v>44134</c:v>
                      </c:pt>
                      <c:pt idx="34">
                        <c:v>44165</c:v>
                      </c:pt>
                      <c:pt idx="35">
                        <c:v>44196</c:v>
                      </c:pt>
                      <c:pt idx="36">
                        <c:v>44225</c:v>
                      </c:pt>
                      <c:pt idx="37">
                        <c:v>44253</c:v>
                      </c:pt>
                      <c:pt idx="38">
                        <c:v>44286</c:v>
                      </c:pt>
                      <c:pt idx="39">
                        <c:v>44316</c:v>
                      </c:pt>
                      <c:pt idx="40">
                        <c:v>44344</c:v>
                      </c:pt>
                      <c:pt idx="41">
                        <c:v>44377</c:v>
                      </c:pt>
                      <c:pt idx="42">
                        <c:v>44407</c:v>
                      </c:pt>
                      <c:pt idx="43">
                        <c:v>44439</c:v>
                      </c:pt>
                      <c:pt idx="44">
                        <c:v>44469</c:v>
                      </c:pt>
                      <c:pt idx="45">
                        <c:v>44498</c:v>
                      </c:pt>
                      <c:pt idx="46">
                        <c:v>44530</c:v>
                      </c:pt>
                      <c:pt idx="47">
                        <c:v>44561</c:v>
                      </c:pt>
                      <c:pt idx="48">
                        <c:v>44592</c:v>
                      </c:pt>
                      <c:pt idx="49">
                        <c:v>44620</c:v>
                      </c:pt>
                      <c:pt idx="50">
                        <c:v>44651</c:v>
                      </c:pt>
                      <c:pt idx="51">
                        <c:v>44680</c:v>
                      </c:pt>
                      <c:pt idx="52">
                        <c:v>44712</c:v>
                      </c:pt>
                      <c:pt idx="53">
                        <c:v>44742</c:v>
                      </c:pt>
                      <c:pt idx="54">
                        <c:v>44771</c:v>
                      </c:pt>
                      <c:pt idx="55">
                        <c:v>44804</c:v>
                      </c:pt>
                      <c:pt idx="56">
                        <c:v>44834</c:v>
                      </c:pt>
                      <c:pt idx="57">
                        <c:v>44865</c:v>
                      </c:pt>
                      <c:pt idx="58">
                        <c:v>44895</c:v>
                      </c:pt>
                      <c:pt idx="59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'Part2(a)'!$P$3:$P$62</c15:sqref>
                        </c15:formulaRef>
                      </c:ext>
                    </c:extLst>
                    <c:numCache>
                      <c:formatCode>0.0000</c:formatCode>
                      <c:ptCount val="60"/>
                      <c:pt idx="0">
                        <c:v>4.7058823529411197E-3</c:v>
                      </c:pt>
                      <c:pt idx="1">
                        <c:v>-3.8998065370125297E-2</c:v>
                      </c:pt>
                      <c:pt idx="2">
                        <c:v>-1.47420147420148E-2</c:v>
                      </c:pt>
                      <c:pt idx="3">
                        <c:v>-3.7406483790523699E-2</c:v>
                      </c:pt>
                      <c:pt idx="4">
                        <c:v>4.92002703311556E-2</c:v>
                      </c:pt>
                      <c:pt idx="5">
                        <c:v>7.2229140722291502E-2</c:v>
                      </c:pt>
                      <c:pt idx="6">
                        <c:v>-1.50987224157956E-2</c:v>
                      </c:pt>
                      <c:pt idx="7">
                        <c:v>1.41412774512837E-2</c:v>
                      </c:pt>
                      <c:pt idx="8">
                        <c:v>5.5099648300117203E-2</c:v>
                      </c:pt>
                      <c:pt idx="9">
                        <c:v>4.4444444444444696E-3</c:v>
                      </c:pt>
                      <c:pt idx="10">
                        <c:v>6.7414558564999902E-3</c:v>
                      </c:pt>
                      <c:pt idx="11">
                        <c:v>-1.43964562569213E-2</c:v>
                      </c:pt>
                      <c:pt idx="12">
                        <c:v>7.5280898876404406E-2</c:v>
                      </c:pt>
                      <c:pt idx="13">
                        <c:v>5.6470307385931798E-2</c:v>
                      </c:pt>
                      <c:pt idx="14">
                        <c:v>-7.9681274900398405E-2</c:v>
                      </c:pt>
                      <c:pt idx="15">
                        <c:v>-2.5974025974026E-2</c:v>
                      </c:pt>
                      <c:pt idx="16">
                        <c:v>-8.4010416666666601E-2</c:v>
                      </c:pt>
                      <c:pt idx="17">
                        <c:v>0.287286063569682</c:v>
                      </c:pt>
                      <c:pt idx="18">
                        <c:v>-1.89933523266856E-2</c:v>
                      </c:pt>
                      <c:pt idx="19">
                        <c:v>-5.9295012828410702E-2</c:v>
                      </c:pt>
                      <c:pt idx="20">
                        <c:v>0.127461139896373</c:v>
                      </c:pt>
                      <c:pt idx="21">
                        <c:v>-2.6654411764705802E-2</c:v>
                      </c:pt>
                      <c:pt idx="22">
                        <c:v>4.1640351543835101E-2</c:v>
                      </c:pt>
                      <c:pt idx="23">
                        <c:v>4.6532846715328501E-2</c:v>
                      </c:pt>
                      <c:pt idx="24">
                        <c:v>-0.238012205754141</c:v>
                      </c:pt>
                      <c:pt idx="25">
                        <c:v>-0.141131188791569</c:v>
                      </c:pt>
                      <c:pt idx="26">
                        <c:v>-3.2258064516128997E-2</c:v>
                      </c:pt>
                      <c:pt idx="27">
                        <c:v>-1.1111111111111099E-2</c:v>
                      </c:pt>
                      <c:pt idx="28">
                        <c:v>-0.15449438202247201</c:v>
                      </c:pt>
                      <c:pt idx="29">
                        <c:v>0.31705589212429203</c:v>
                      </c:pt>
                      <c:pt idx="30">
                        <c:v>-7.0975918884664105E-2</c:v>
                      </c:pt>
                      <c:pt idx="31">
                        <c:v>-5.9411224656147302E-2</c:v>
                      </c:pt>
                      <c:pt idx="32">
                        <c:v>-4.6647230320699701E-2</c:v>
                      </c:pt>
                      <c:pt idx="33">
                        <c:v>-2.1406727828746201E-2</c:v>
                      </c:pt>
                      <c:pt idx="34">
                        <c:v>0.15609375</c:v>
                      </c:pt>
                      <c:pt idx="35">
                        <c:v>5.44217687074822E-3</c:v>
                      </c:pt>
                      <c:pt idx="36">
                        <c:v>2.9769959404600799E-2</c:v>
                      </c:pt>
                      <c:pt idx="37">
                        <c:v>0.24300179993153601</c:v>
                      </c:pt>
                      <c:pt idx="38">
                        <c:v>0.13297872340425501</c:v>
                      </c:pt>
                      <c:pt idx="39">
                        <c:v>-1.5023474178403801E-2</c:v>
                      </c:pt>
                      <c:pt idx="40">
                        <c:v>-7.2449952335557705E-2</c:v>
                      </c:pt>
                      <c:pt idx="41">
                        <c:v>-6.2047569803516001E-2</c:v>
                      </c:pt>
                      <c:pt idx="42">
                        <c:v>0.16538037486218299</c:v>
                      </c:pt>
                      <c:pt idx="43">
                        <c:v>-5.1280499878990499E-2</c:v>
                      </c:pt>
                      <c:pt idx="44">
                        <c:v>-0.100300902708124</c:v>
                      </c:pt>
                      <c:pt idx="45">
                        <c:v>-3.67892976588629E-2</c:v>
                      </c:pt>
                      <c:pt idx="46">
                        <c:v>-0.14992187500000001</c:v>
                      </c:pt>
                      <c:pt idx="47">
                        <c:v>2.7434842249657101E-2</c:v>
                      </c:pt>
                      <c:pt idx="48">
                        <c:v>1.6021361815754299E-2</c:v>
                      </c:pt>
                      <c:pt idx="49">
                        <c:v>2.09842736636854E-2</c:v>
                      </c:pt>
                      <c:pt idx="50">
                        <c:v>-1.9455252918288E-2</c:v>
                      </c:pt>
                      <c:pt idx="51">
                        <c:v>3.1746031746031599E-2</c:v>
                      </c:pt>
                      <c:pt idx="52">
                        <c:v>5.9276591595983197E-2</c:v>
                      </c:pt>
                      <c:pt idx="53">
                        <c:v>-4.8780487804878099E-2</c:v>
                      </c:pt>
                      <c:pt idx="54">
                        <c:v>-7.0512820512820498E-2</c:v>
                      </c:pt>
                      <c:pt idx="55">
                        <c:v>-0.15427235534775</c:v>
                      </c:pt>
                      <c:pt idx="56">
                        <c:v>-5.5921052631579003E-2</c:v>
                      </c:pt>
                      <c:pt idx="57">
                        <c:v>4.3554006968641097E-2</c:v>
                      </c:pt>
                      <c:pt idx="58">
                        <c:v>6.6456326293057297E-2</c:v>
                      </c:pt>
                      <c:pt idx="59">
                        <c:v>-0.121642969984202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8A4-4931-9BFC-139A01E5B0FF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'Part2(a)'!$Q$2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'Part2(a)'!$A$3:$A$62</c15:sqref>
                        </c15:formulaRef>
                      </c:ext>
                    </c:extLst>
                    <c:numCache>
                      <c:formatCode>m/d/yyyy</c:formatCode>
                      <c:ptCount val="60"/>
                      <c:pt idx="0">
                        <c:v>43131</c:v>
                      </c:pt>
                      <c:pt idx="1">
                        <c:v>43159</c:v>
                      </c:pt>
                      <c:pt idx="2">
                        <c:v>43188</c:v>
                      </c:pt>
                      <c:pt idx="3">
                        <c:v>43220</c:v>
                      </c:pt>
                      <c:pt idx="4">
                        <c:v>43251</c:v>
                      </c:pt>
                      <c:pt idx="5">
                        <c:v>43280</c:v>
                      </c:pt>
                      <c:pt idx="6">
                        <c:v>43312</c:v>
                      </c:pt>
                      <c:pt idx="7">
                        <c:v>43343</c:v>
                      </c:pt>
                      <c:pt idx="8">
                        <c:v>43371</c:v>
                      </c:pt>
                      <c:pt idx="9">
                        <c:v>43404</c:v>
                      </c:pt>
                      <c:pt idx="10">
                        <c:v>43434</c:v>
                      </c:pt>
                      <c:pt idx="11">
                        <c:v>43465</c:v>
                      </c:pt>
                      <c:pt idx="12">
                        <c:v>43496</c:v>
                      </c:pt>
                      <c:pt idx="13">
                        <c:v>43524</c:v>
                      </c:pt>
                      <c:pt idx="14">
                        <c:v>43553</c:v>
                      </c:pt>
                      <c:pt idx="15">
                        <c:v>43585</c:v>
                      </c:pt>
                      <c:pt idx="16">
                        <c:v>43616</c:v>
                      </c:pt>
                      <c:pt idx="17">
                        <c:v>43644</c:v>
                      </c:pt>
                      <c:pt idx="18">
                        <c:v>43677</c:v>
                      </c:pt>
                      <c:pt idx="19">
                        <c:v>43707</c:v>
                      </c:pt>
                      <c:pt idx="20">
                        <c:v>43738</c:v>
                      </c:pt>
                      <c:pt idx="21">
                        <c:v>43769</c:v>
                      </c:pt>
                      <c:pt idx="22">
                        <c:v>43798</c:v>
                      </c:pt>
                      <c:pt idx="23">
                        <c:v>43830</c:v>
                      </c:pt>
                      <c:pt idx="24">
                        <c:v>43861</c:v>
                      </c:pt>
                      <c:pt idx="25">
                        <c:v>43889</c:v>
                      </c:pt>
                      <c:pt idx="26">
                        <c:v>43921</c:v>
                      </c:pt>
                      <c:pt idx="27">
                        <c:v>43951</c:v>
                      </c:pt>
                      <c:pt idx="28">
                        <c:v>43980</c:v>
                      </c:pt>
                      <c:pt idx="29">
                        <c:v>44012</c:v>
                      </c:pt>
                      <c:pt idx="30">
                        <c:v>44043</c:v>
                      </c:pt>
                      <c:pt idx="31">
                        <c:v>44074</c:v>
                      </c:pt>
                      <c:pt idx="32">
                        <c:v>44104</c:v>
                      </c:pt>
                      <c:pt idx="33">
                        <c:v>44134</c:v>
                      </c:pt>
                      <c:pt idx="34">
                        <c:v>44165</c:v>
                      </c:pt>
                      <c:pt idx="35">
                        <c:v>44196</c:v>
                      </c:pt>
                      <c:pt idx="36">
                        <c:v>44225</c:v>
                      </c:pt>
                      <c:pt idx="37">
                        <c:v>44253</c:v>
                      </c:pt>
                      <c:pt idx="38">
                        <c:v>44286</c:v>
                      </c:pt>
                      <c:pt idx="39">
                        <c:v>44316</c:v>
                      </c:pt>
                      <c:pt idx="40">
                        <c:v>44344</c:v>
                      </c:pt>
                      <c:pt idx="41">
                        <c:v>44377</c:v>
                      </c:pt>
                      <c:pt idx="42">
                        <c:v>44407</c:v>
                      </c:pt>
                      <c:pt idx="43">
                        <c:v>44439</c:v>
                      </c:pt>
                      <c:pt idx="44">
                        <c:v>44469</c:v>
                      </c:pt>
                      <c:pt idx="45">
                        <c:v>44498</c:v>
                      </c:pt>
                      <c:pt idx="46">
                        <c:v>44530</c:v>
                      </c:pt>
                      <c:pt idx="47">
                        <c:v>44561</c:v>
                      </c:pt>
                      <c:pt idx="48">
                        <c:v>44592</c:v>
                      </c:pt>
                      <c:pt idx="49">
                        <c:v>44620</c:v>
                      </c:pt>
                      <c:pt idx="50">
                        <c:v>44651</c:v>
                      </c:pt>
                      <c:pt idx="51">
                        <c:v>44680</c:v>
                      </c:pt>
                      <c:pt idx="52">
                        <c:v>44712</c:v>
                      </c:pt>
                      <c:pt idx="53">
                        <c:v>44742</c:v>
                      </c:pt>
                      <c:pt idx="54">
                        <c:v>44771</c:v>
                      </c:pt>
                      <c:pt idx="55">
                        <c:v>44804</c:v>
                      </c:pt>
                      <c:pt idx="56">
                        <c:v>44834</c:v>
                      </c:pt>
                      <c:pt idx="57">
                        <c:v>44865</c:v>
                      </c:pt>
                      <c:pt idx="58">
                        <c:v>44895</c:v>
                      </c:pt>
                      <c:pt idx="59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'Part2(a)'!$Q$3:$Q$62</c15:sqref>
                        </c15:formulaRef>
                      </c:ext>
                    </c:extLst>
                    <c:numCache>
                      <c:formatCode>0.0000</c:formatCode>
                      <c:ptCount val="60"/>
                      <c:pt idx="0">
                        <c:v>-0.22626695217701601</c:v>
                      </c:pt>
                      <c:pt idx="1">
                        <c:v>6.6420664206642097E-2</c:v>
                      </c:pt>
                      <c:pt idx="2">
                        <c:v>-3.1141868512110801E-2</c:v>
                      </c:pt>
                      <c:pt idx="3">
                        <c:v>0.129464285714286</c:v>
                      </c:pt>
                      <c:pt idx="4">
                        <c:v>-9.4861660079051894E-3</c:v>
                      </c:pt>
                      <c:pt idx="5">
                        <c:v>-3.1923383878691099E-2</c:v>
                      </c:pt>
                      <c:pt idx="6">
                        <c:v>-3.1327287716405597E-2</c:v>
                      </c:pt>
                      <c:pt idx="7">
                        <c:v>-3.4042553191489001E-3</c:v>
                      </c:pt>
                      <c:pt idx="8">
                        <c:v>-4.7822374039282703E-2</c:v>
                      </c:pt>
                      <c:pt idx="9">
                        <c:v>-9.9910313901345305E-2</c:v>
                      </c:pt>
                      <c:pt idx="10">
                        <c:v>0.156636110003986</c:v>
                      </c:pt>
                      <c:pt idx="11">
                        <c:v>3.4803583735354901E-2</c:v>
                      </c:pt>
                      <c:pt idx="12">
                        <c:v>0.22577422577422601</c:v>
                      </c:pt>
                      <c:pt idx="13">
                        <c:v>5.3110567780494403E-2</c:v>
                      </c:pt>
                      <c:pt idx="14">
                        <c:v>4.7078550238617303E-2</c:v>
                      </c:pt>
                      <c:pt idx="15">
                        <c:v>8.6351318058635093E-2</c:v>
                      </c:pt>
                      <c:pt idx="16">
                        <c:v>-0.32815511962807598</c:v>
                      </c:pt>
                      <c:pt idx="17">
                        <c:v>2.9873417721519E-2</c:v>
                      </c:pt>
                      <c:pt idx="18">
                        <c:v>-0.19813176007866301</c:v>
                      </c:pt>
                      <c:pt idx="19">
                        <c:v>3.1269160024524699E-2</c:v>
                      </c:pt>
                      <c:pt idx="20">
                        <c:v>7.3325406262385998E-2</c:v>
                      </c:pt>
                      <c:pt idx="21">
                        <c:v>2.5480059084195001E-2</c:v>
                      </c:pt>
                      <c:pt idx="22">
                        <c:v>2.1786100108030199E-2</c:v>
                      </c:pt>
                      <c:pt idx="23">
                        <c:v>8.8634361233480105E-2</c:v>
                      </c:pt>
                      <c:pt idx="24">
                        <c:v>-2.4765296212366401E-2</c:v>
                      </c:pt>
                      <c:pt idx="25">
                        <c:v>-0.152033195020747</c:v>
                      </c:pt>
                      <c:pt idx="26">
                        <c:v>-5.5392444705421803E-2</c:v>
                      </c:pt>
                      <c:pt idx="27">
                        <c:v>9.6353087443017002E-2</c:v>
                      </c:pt>
                      <c:pt idx="28">
                        <c:v>0.13532413532413501</c:v>
                      </c:pt>
                      <c:pt idx="29">
                        <c:v>-4.5779923422673598E-2</c:v>
                      </c:pt>
                      <c:pt idx="30">
                        <c:v>5.5652477320307099E-2</c:v>
                      </c:pt>
                      <c:pt idx="31">
                        <c:v>4.4785985787473101E-2</c:v>
                      </c:pt>
                      <c:pt idx="32">
                        <c:v>8.98449857639987E-2</c:v>
                      </c:pt>
                      <c:pt idx="33">
                        <c:v>7.09724238026124E-2</c:v>
                      </c:pt>
                      <c:pt idx="34">
                        <c:v>-1.7482043637349301E-2</c:v>
                      </c:pt>
                      <c:pt idx="35">
                        <c:v>1.9172413793103499E-2</c:v>
                      </c:pt>
                      <c:pt idx="36">
                        <c:v>8.1337122750033894E-2</c:v>
                      </c:pt>
                      <c:pt idx="37">
                        <c:v>-1.10137672090113E-2</c:v>
                      </c:pt>
                      <c:pt idx="38">
                        <c:v>-1.9235636547709399E-2</c:v>
                      </c:pt>
                      <c:pt idx="39">
                        <c:v>1.43225806451612E-2</c:v>
                      </c:pt>
                      <c:pt idx="40">
                        <c:v>-6.4877242081160498E-3</c:v>
                      </c:pt>
                      <c:pt idx="41">
                        <c:v>2.84250960307297E-2</c:v>
                      </c:pt>
                      <c:pt idx="42">
                        <c:v>-3.18725099601593E-2</c:v>
                      </c:pt>
                      <c:pt idx="43">
                        <c:v>-4.6939300411522597E-2</c:v>
                      </c:pt>
                      <c:pt idx="44">
                        <c:v>6.5308325462150901E-2</c:v>
                      </c:pt>
                      <c:pt idx="45">
                        <c:v>4.2431918936035401E-2</c:v>
                      </c:pt>
                      <c:pt idx="46">
                        <c:v>-1.17861482381532E-2</c:v>
                      </c:pt>
                      <c:pt idx="47">
                        <c:v>3.0616008852821799E-2</c:v>
                      </c:pt>
                      <c:pt idx="48">
                        <c:v>-5.7504175614411797E-2</c:v>
                      </c:pt>
                      <c:pt idx="49">
                        <c:v>-0.14962025316455699</c:v>
                      </c:pt>
                      <c:pt idx="50">
                        <c:v>1.66716284608515E-2</c:v>
                      </c:pt>
                      <c:pt idx="51">
                        <c:v>-0.156368960468521</c:v>
                      </c:pt>
                      <c:pt idx="52">
                        <c:v>-0.159666782367234</c:v>
                      </c:pt>
                      <c:pt idx="53">
                        <c:v>-8.0751755472945094E-2</c:v>
                      </c:pt>
                      <c:pt idx="54">
                        <c:v>3.9541676027858901E-2</c:v>
                      </c:pt>
                      <c:pt idx="55">
                        <c:v>1.55608385563E-2</c:v>
                      </c:pt>
                      <c:pt idx="56">
                        <c:v>-0.20387316450308601</c:v>
                      </c:pt>
                      <c:pt idx="57">
                        <c:v>0.201550387596899</c:v>
                      </c:pt>
                      <c:pt idx="58">
                        <c:v>-0.31701890989988901</c:v>
                      </c:pt>
                      <c:pt idx="59">
                        <c:v>0.104885993485342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8A4-4931-9BFC-139A01E5B0FF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'Part2(a)'!$R$2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'Part2(a)'!$A$3:$A$62</c15:sqref>
                        </c15:formulaRef>
                      </c:ext>
                    </c:extLst>
                    <c:numCache>
                      <c:formatCode>m/d/yyyy</c:formatCode>
                      <c:ptCount val="60"/>
                      <c:pt idx="0">
                        <c:v>43131</c:v>
                      </c:pt>
                      <c:pt idx="1">
                        <c:v>43159</c:v>
                      </c:pt>
                      <c:pt idx="2">
                        <c:v>43188</c:v>
                      </c:pt>
                      <c:pt idx="3">
                        <c:v>43220</c:v>
                      </c:pt>
                      <c:pt idx="4">
                        <c:v>43251</c:v>
                      </c:pt>
                      <c:pt idx="5">
                        <c:v>43280</c:v>
                      </c:pt>
                      <c:pt idx="6">
                        <c:v>43312</c:v>
                      </c:pt>
                      <c:pt idx="7">
                        <c:v>43343</c:v>
                      </c:pt>
                      <c:pt idx="8">
                        <c:v>43371</c:v>
                      </c:pt>
                      <c:pt idx="9">
                        <c:v>43404</c:v>
                      </c:pt>
                      <c:pt idx="10">
                        <c:v>43434</c:v>
                      </c:pt>
                      <c:pt idx="11">
                        <c:v>43465</c:v>
                      </c:pt>
                      <c:pt idx="12">
                        <c:v>43496</c:v>
                      </c:pt>
                      <c:pt idx="13">
                        <c:v>43524</c:v>
                      </c:pt>
                      <c:pt idx="14">
                        <c:v>43553</c:v>
                      </c:pt>
                      <c:pt idx="15">
                        <c:v>43585</c:v>
                      </c:pt>
                      <c:pt idx="16">
                        <c:v>43616</c:v>
                      </c:pt>
                      <c:pt idx="17">
                        <c:v>43644</c:v>
                      </c:pt>
                      <c:pt idx="18">
                        <c:v>43677</c:v>
                      </c:pt>
                      <c:pt idx="19">
                        <c:v>43707</c:v>
                      </c:pt>
                      <c:pt idx="20">
                        <c:v>43738</c:v>
                      </c:pt>
                      <c:pt idx="21">
                        <c:v>43769</c:v>
                      </c:pt>
                      <c:pt idx="22">
                        <c:v>43798</c:v>
                      </c:pt>
                      <c:pt idx="23">
                        <c:v>43830</c:v>
                      </c:pt>
                      <c:pt idx="24">
                        <c:v>43861</c:v>
                      </c:pt>
                      <c:pt idx="25">
                        <c:v>43889</c:v>
                      </c:pt>
                      <c:pt idx="26">
                        <c:v>43921</c:v>
                      </c:pt>
                      <c:pt idx="27">
                        <c:v>43951</c:v>
                      </c:pt>
                      <c:pt idx="28">
                        <c:v>43980</c:v>
                      </c:pt>
                      <c:pt idx="29">
                        <c:v>44012</c:v>
                      </c:pt>
                      <c:pt idx="30">
                        <c:v>44043</c:v>
                      </c:pt>
                      <c:pt idx="31">
                        <c:v>44074</c:v>
                      </c:pt>
                      <c:pt idx="32">
                        <c:v>44104</c:v>
                      </c:pt>
                      <c:pt idx="33">
                        <c:v>44134</c:v>
                      </c:pt>
                      <c:pt idx="34">
                        <c:v>44165</c:v>
                      </c:pt>
                      <c:pt idx="35">
                        <c:v>44196</c:v>
                      </c:pt>
                      <c:pt idx="36">
                        <c:v>44225</c:v>
                      </c:pt>
                      <c:pt idx="37">
                        <c:v>44253</c:v>
                      </c:pt>
                      <c:pt idx="38">
                        <c:v>44286</c:v>
                      </c:pt>
                      <c:pt idx="39">
                        <c:v>44316</c:v>
                      </c:pt>
                      <c:pt idx="40">
                        <c:v>44344</c:v>
                      </c:pt>
                      <c:pt idx="41">
                        <c:v>44377</c:v>
                      </c:pt>
                      <c:pt idx="42">
                        <c:v>44407</c:v>
                      </c:pt>
                      <c:pt idx="43">
                        <c:v>44439</c:v>
                      </c:pt>
                      <c:pt idx="44">
                        <c:v>44469</c:v>
                      </c:pt>
                      <c:pt idx="45">
                        <c:v>44498</c:v>
                      </c:pt>
                      <c:pt idx="46">
                        <c:v>44530</c:v>
                      </c:pt>
                      <c:pt idx="47">
                        <c:v>44561</c:v>
                      </c:pt>
                      <c:pt idx="48">
                        <c:v>44592</c:v>
                      </c:pt>
                      <c:pt idx="49">
                        <c:v>44620</c:v>
                      </c:pt>
                      <c:pt idx="50">
                        <c:v>44651</c:v>
                      </c:pt>
                      <c:pt idx="51">
                        <c:v>44680</c:v>
                      </c:pt>
                      <c:pt idx="52">
                        <c:v>44712</c:v>
                      </c:pt>
                      <c:pt idx="53">
                        <c:v>44742</c:v>
                      </c:pt>
                      <c:pt idx="54">
                        <c:v>44771</c:v>
                      </c:pt>
                      <c:pt idx="55">
                        <c:v>44804</c:v>
                      </c:pt>
                      <c:pt idx="56">
                        <c:v>44834</c:v>
                      </c:pt>
                      <c:pt idx="57">
                        <c:v>44865</c:v>
                      </c:pt>
                      <c:pt idx="58">
                        <c:v>44895</c:v>
                      </c:pt>
                      <c:pt idx="59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'Part2(a)'!$R$3:$R$62</c15:sqref>
                        </c15:formulaRef>
                      </c:ext>
                    </c:extLst>
                    <c:numCache>
                      <c:formatCode>0.0000</c:formatCode>
                      <c:ptCount val="60"/>
                      <c:pt idx="0">
                        <c:v>-3.5788381742738601E-2</c:v>
                      </c:pt>
                      <c:pt idx="1">
                        <c:v>-0.10380310561233599</c:v>
                      </c:pt>
                      <c:pt idx="2">
                        <c:v>0.10244786944696301</c:v>
                      </c:pt>
                      <c:pt idx="3">
                        <c:v>4.9890350877193103E-2</c:v>
                      </c:pt>
                      <c:pt idx="4">
                        <c:v>2.44995648389905E-2</c:v>
                      </c:pt>
                      <c:pt idx="5">
                        <c:v>-5.8974358974358499E-3</c:v>
                      </c:pt>
                      <c:pt idx="6">
                        <c:v>-4.8491101367036403E-2</c:v>
                      </c:pt>
                      <c:pt idx="7">
                        <c:v>-1.96642251521911E-2</c:v>
                      </c:pt>
                      <c:pt idx="8">
                        <c:v>2.3657111049262498E-2</c:v>
                      </c:pt>
                      <c:pt idx="9">
                        <c:v>-5.1658510059815503E-3</c:v>
                      </c:pt>
                      <c:pt idx="10">
                        <c:v>2.7838618449660402E-4</c:v>
                      </c:pt>
                      <c:pt idx="11">
                        <c:v>-4.0979097909790901E-2</c:v>
                      </c:pt>
                      <c:pt idx="12">
                        <c:v>1.4912532262689999E-2</c:v>
                      </c:pt>
                      <c:pt idx="13">
                        <c:v>0.116184799832701</c:v>
                      </c:pt>
                      <c:pt idx="14">
                        <c:v>-5.0203873598369003E-2</c:v>
                      </c:pt>
                      <c:pt idx="15">
                        <c:v>-2.6562919237993001E-2</c:v>
                      </c:pt>
                      <c:pt idx="16">
                        <c:v>-1.18184711199395E-2</c:v>
                      </c:pt>
                      <c:pt idx="17">
                        <c:v>4.3807919123841597E-2</c:v>
                      </c:pt>
                      <c:pt idx="18">
                        <c:v>-3.2015065913370999E-2</c:v>
                      </c:pt>
                      <c:pt idx="19">
                        <c:v>1.8581522426217599E-2</c:v>
                      </c:pt>
                      <c:pt idx="20">
                        <c:v>1.6483516483516401E-2</c:v>
                      </c:pt>
                      <c:pt idx="21">
                        <c:v>2.7027027027026799E-3</c:v>
                      </c:pt>
                      <c:pt idx="22">
                        <c:v>9.4522422033731495E-3</c:v>
                      </c:pt>
                      <c:pt idx="23">
                        <c:v>2.6881720430105299E-4</c:v>
                      </c:pt>
                      <c:pt idx="24">
                        <c:v>1.3705993012631101E-2</c:v>
                      </c:pt>
                      <c:pt idx="25">
                        <c:v>-8.3797117710005198E-2</c:v>
                      </c:pt>
                      <c:pt idx="26">
                        <c:v>8.8843577046315195E-2</c:v>
                      </c:pt>
                      <c:pt idx="27">
                        <c:v>-7.6243980738362804E-2</c:v>
                      </c:pt>
                      <c:pt idx="28">
                        <c:v>2.41299129525114E-2</c:v>
                      </c:pt>
                      <c:pt idx="29">
                        <c:v>3.36086585018514E-2</c:v>
                      </c:pt>
                      <c:pt idx="30">
                        <c:v>-3.3342518600165301E-2</c:v>
                      </c:pt>
                      <c:pt idx="31">
                        <c:v>1.0236729789005101E-2</c:v>
                      </c:pt>
                      <c:pt idx="32">
                        <c:v>-2.0460358056266E-2</c:v>
                      </c:pt>
                      <c:pt idx="33">
                        <c:v>2.2048157818392901E-2</c:v>
                      </c:pt>
                      <c:pt idx="34">
                        <c:v>5.69576937607763E-2</c:v>
                      </c:pt>
                      <c:pt idx="35">
                        <c:v>2.9753854476601799E-3</c:v>
                      </c:pt>
                      <c:pt idx="36">
                        <c:v>0.102481121898598</c:v>
                      </c:pt>
                      <c:pt idx="37">
                        <c:v>-8.9081365067487997E-2</c:v>
                      </c:pt>
                      <c:pt idx="38">
                        <c:v>6.4324324324324306E-2</c:v>
                      </c:pt>
                      <c:pt idx="39">
                        <c:v>2.7171152869476901E-2</c:v>
                      </c:pt>
                      <c:pt idx="40">
                        <c:v>2.6023632378784099E-2</c:v>
                      </c:pt>
                      <c:pt idx="41">
                        <c:v>-0.10838991270611099</c:v>
                      </c:pt>
                      <c:pt idx="42">
                        <c:v>6.2822953494696701E-2</c:v>
                      </c:pt>
                      <c:pt idx="43">
                        <c:v>1.50740391730197E-2</c:v>
                      </c:pt>
                      <c:pt idx="44">
                        <c:v>-3.1464095407257003E-2</c:v>
                      </c:pt>
                      <c:pt idx="45">
                        <c:v>5.3707099816609802E-2</c:v>
                      </c:pt>
                      <c:pt idx="46">
                        <c:v>6.9888646551027597E-2</c:v>
                      </c:pt>
                      <c:pt idx="47">
                        <c:v>8.3489242282507106E-2</c:v>
                      </c:pt>
                      <c:pt idx="48">
                        <c:v>4.0362616015540601E-2</c:v>
                      </c:pt>
                      <c:pt idx="49">
                        <c:v>-3.01609994046932E-2</c:v>
                      </c:pt>
                      <c:pt idx="50">
                        <c:v>4.4535283993115203E-2</c:v>
                      </c:pt>
                      <c:pt idx="51">
                        <c:v>-4.2224510813594199E-2</c:v>
                      </c:pt>
                      <c:pt idx="52">
                        <c:v>6.1884794265233002E-2</c:v>
                      </c:pt>
                      <c:pt idx="53">
                        <c:v>1.83374083129584E-3</c:v>
                      </c:pt>
                      <c:pt idx="54">
                        <c:v>4.8606874110229903E-2</c:v>
                      </c:pt>
                      <c:pt idx="55">
                        <c:v>6.4927810516395706E-2</c:v>
                      </c:pt>
                      <c:pt idx="56">
                        <c:v>-0.119165293794618</c:v>
                      </c:pt>
                      <c:pt idx="57">
                        <c:v>8.6450540315877095E-2</c:v>
                      </c:pt>
                      <c:pt idx="58">
                        <c:v>4.90491187477098E-2</c:v>
                      </c:pt>
                      <c:pt idx="59">
                        <c:v>7.3680351906158403E-2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8A4-4931-9BFC-139A01E5B0FF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'Part2(a)'!$S$2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'Part2(a)'!$A$3:$A$62</c15:sqref>
                        </c15:formulaRef>
                      </c:ext>
                    </c:extLst>
                    <c:numCache>
                      <c:formatCode>m/d/yyyy</c:formatCode>
                      <c:ptCount val="60"/>
                      <c:pt idx="0">
                        <c:v>43131</c:v>
                      </c:pt>
                      <c:pt idx="1">
                        <c:v>43159</c:v>
                      </c:pt>
                      <c:pt idx="2">
                        <c:v>43188</c:v>
                      </c:pt>
                      <c:pt idx="3">
                        <c:v>43220</c:v>
                      </c:pt>
                      <c:pt idx="4">
                        <c:v>43251</c:v>
                      </c:pt>
                      <c:pt idx="5">
                        <c:v>43280</c:v>
                      </c:pt>
                      <c:pt idx="6">
                        <c:v>43312</c:v>
                      </c:pt>
                      <c:pt idx="7">
                        <c:v>43343</c:v>
                      </c:pt>
                      <c:pt idx="8">
                        <c:v>43371</c:v>
                      </c:pt>
                      <c:pt idx="9">
                        <c:v>43404</c:v>
                      </c:pt>
                      <c:pt idx="10">
                        <c:v>43434</c:v>
                      </c:pt>
                      <c:pt idx="11">
                        <c:v>43465</c:v>
                      </c:pt>
                      <c:pt idx="12">
                        <c:v>43496</c:v>
                      </c:pt>
                      <c:pt idx="13">
                        <c:v>43524</c:v>
                      </c:pt>
                      <c:pt idx="14">
                        <c:v>43553</c:v>
                      </c:pt>
                      <c:pt idx="15">
                        <c:v>43585</c:v>
                      </c:pt>
                      <c:pt idx="16">
                        <c:v>43616</c:v>
                      </c:pt>
                      <c:pt idx="17">
                        <c:v>43644</c:v>
                      </c:pt>
                      <c:pt idx="18">
                        <c:v>43677</c:v>
                      </c:pt>
                      <c:pt idx="19">
                        <c:v>43707</c:v>
                      </c:pt>
                      <c:pt idx="20">
                        <c:v>43738</c:v>
                      </c:pt>
                      <c:pt idx="21">
                        <c:v>43769</c:v>
                      </c:pt>
                      <c:pt idx="22">
                        <c:v>43798</c:v>
                      </c:pt>
                      <c:pt idx="23">
                        <c:v>43830</c:v>
                      </c:pt>
                      <c:pt idx="24">
                        <c:v>43861</c:v>
                      </c:pt>
                      <c:pt idx="25">
                        <c:v>43889</c:v>
                      </c:pt>
                      <c:pt idx="26">
                        <c:v>43921</c:v>
                      </c:pt>
                      <c:pt idx="27">
                        <c:v>43951</c:v>
                      </c:pt>
                      <c:pt idx="28">
                        <c:v>43980</c:v>
                      </c:pt>
                      <c:pt idx="29">
                        <c:v>44012</c:v>
                      </c:pt>
                      <c:pt idx="30">
                        <c:v>44043</c:v>
                      </c:pt>
                      <c:pt idx="31">
                        <c:v>44074</c:v>
                      </c:pt>
                      <c:pt idx="32">
                        <c:v>44104</c:v>
                      </c:pt>
                      <c:pt idx="33">
                        <c:v>44134</c:v>
                      </c:pt>
                      <c:pt idx="34">
                        <c:v>44165</c:v>
                      </c:pt>
                      <c:pt idx="35">
                        <c:v>44196</c:v>
                      </c:pt>
                      <c:pt idx="36">
                        <c:v>44225</c:v>
                      </c:pt>
                      <c:pt idx="37">
                        <c:v>44253</c:v>
                      </c:pt>
                      <c:pt idx="38">
                        <c:v>44286</c:v>
                      </c:pt>
                      <c:pt idx="39">
                        <c:v>44316</c:v>
                      </c:pt>
                      <c:pt idx="40">
                        <c:v>44344</c:v>
                      </c:pt>
                      <c:pt idx="41">
                        <c:v>44377</c:v>
                      </c:pt>
                      <c:pt idx="42">
                        <c:v>44407</c:v>
                      </c:pt>
                      <c:pt idx="43">
                        <c:v>44439</c:v>
                      </c:pt>
                      <c:pt idx="44">
                        <c:v>44469</c:v>
                      </c:pt>
                      <c:pt idx="45">
                        <c:v>44498</c:v>
                      </c:pt>
                      <c:pt idx="46">
                        <c:v>44530</c:v>
                      </c:pt>
                      <c:pt idx="47">
                        <c:v>44561</c:v>
                      </c:pt>
                      <c:pt idx="48">
                        <c:v>44592</c:v>
                      </c:pt>
                      <c:pt idx="49">
                        <c:v>44620</c:v>
                      </c:pt>
                      <c:pt idx="50">
                        <c:v>44651</c:v>
                      </c:pt>
                      <c:pt idx="51">
                        <c:v>44680</c:v>
                      </c:pt>
                      <c:pt idx="52">
                        <c:v>44712</c:v>
                      </c:pt>
                      <c:pt idx="53">
                        <c:v>44742</c:v>
                      </c:pt>
                      <c:pt idx="54">
                        <c:v>44771</c:v>
                      </c:pt>
                      <c:pt idx="55">
                        <c:v>44804</c:v>
                      </c:pt>
                      <c:pt idx="56">
                        <c:v>44834</c:v>
                      </c:pt>
                      <c:pt idx="57">
                        <c:v>44865</c:v>
                      </c:pt>
                      <c:pt idx="58">
                        <c:v>44895</c:v>
                      </c:pt>
                      <c:pt idx="59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'Part2(a)'!$S$3:$S$62</c15:sqref>
                        </c15:formulaRef>
                      </c:ext>
                    </c:extLst>
                    <c:numCache>
                      <c:formatCode>0.0000</c:formatCode>
                      <c:ptCount val="60"/>
                      <c:pt idx="0">
                        <c:v>1.1627906976744207E-2</c:v>
                      </c:pt>
                      <c:pt idx="1">
                        <c:v>-6.3218390804597679E-2</c:v>
                      </c:pt>
                      <c:pt idx="2">
                        <c:v>0.5950920245398772</c:v>
                      </c:pt>
                      <c:pt idx="3">
                        <c:v>-8.846153846153848E-2</c:v>
                      </c:pt>
                      <c:pt idx="4">
                        <c:v>8.4388185654007408E-3</c:v>
                      </c:pt>
                      <c:pt idx="5">
                        <c:v>4.1841004184099972E-3</c:v>
                      </c:pt>
                      <c:pt idx="6">
                        <c:v>0.1166666666666667</c:v>
                      </c:pt>
                      <c:pt idx="7">
                        <c:v>7.0895522388059629E-2</c:v>
                      </c:pt>
                      <c:pt idx="8">
                        <c:v>-4.8780487804878092E-2</c:v>
                      </c:pt>
                      <c:pt idx="9">
                        <c:v>0.19926739926739923</c:v>
                      </c:pt>
                      <c:pt idx="10">
                        <c:v>-3.9706780696395882E-2</c:v>
                      </c:pt>
                      <c:pt idx="11">
                        <c:v>-0.10305343511450382</c:v>
                      </c:pt>
                      <c:pt idx="12">
                        <c:v>5.8865248226950273E-2</c:v>
                      </c:pt>
                      <c:pt idx="13">
                        <c:v>9.6450100468854716E-2</c:v>
                      </c:pt>
                      <c:pt idx="14">
                        <c:v>-1.1606597434331123E-2</c:v>
                      </c:pt>
                      <c:pt idx="15">
                        <c:v>-6.9221260815822028E-2</c:v>
                      </c:pt>
                      <c:pt idx="16">
                        <c:v>-3.7184594953519223E-2</c:v>
                      </c:pt>
                      <c:pt idx="17">
                        <c:v>1.586206896551734E-2</c:v>
                      </c:pt>
                      <c:pt idx="18">
                        <c:v>-3.258655804480648E-2</c:v>
                      </c:pt>
                      <c:pt idx="19">
                        <c:v>1.0526315789473717E-2</c:v>
                      </c:pt>
                      <c:pt idx="20">
                        <c:v>0.11597222222222214</c:v>
                      </c:pt>
                      <c:pt idx="21">
                        <c:v>-8.2762912258867449E-2</c:v>
                      </c:pt>
                      <c:pt idx="22">
                        <c:v>0.10922659430122117</c:v>
                      </c:pt>
                      <c:pt idx="23">
                        <c:v>7.0336391437308965E-2</c:v>
                      </c:pt>
                      <c:pt idx="24">
                        <c:v>9.657142857142853E-2</c:v>
                      </c:pt>
                      <c:pt idx="25">
                        <c:v>0.17457008858780609</c:v>
                      </c:pt>
                      <c:pt idx="26">
                        <c:v>-0.24445430346051467</c:v>
                      </c:pt>
                      <c:pt idx="27">
                        <c:v>6.0481503229594891E-2</c:v>
                      </c:pt>
                      <c:pt idx="28">
                        <c:v>0.18826135105204878</c:v>
                      </c:pt>
                      <c:pt idx="29">
                        <c:v>0.29450139794967378</c:v>
                      </c:pt>
                      <c:pt idx="30">
                        <c:v>-3.5997120230382151E-3</c:v>
                      </c:pt>
                      <c:pt idx="31">
                        <c:v>0.23338150289017334</c:v>
                      </c:pt>
                      <c:pt idx="32">
                        <c:v>-2.1675454012888062E-2</c:v>
                      </c:pt>
                      <c:pt idx="33">
                        <c:v>0.14940119760479043</c:v>
                      </c:pt>
                      <c:pt idx="34">
                        <c:v>0.16045845272206294</c:v>
                      </c:pt>
                      <c:pt idx="35">
                        <c:v>0.17261503928170585</c:v>
                      </c:pt>
                      <c:pt idx="36">
                        <c:v>7.3698315467074949E-2</c:v>
                      </c:pt>
                      <c:pt idx="37">
                        <c:v>1.8363344624710232E-2</c:v>
                      </c:pt>
                      <c:pt idx="38">
                        <c:v>-0.14863445378151263</c:v>
                      </c:pt>
                      <c:pt idx="39">
                        <c:v>8.554390294057157E-2</c:v>
                      </c:pt>
                      <c:pt idx="40">
                        <c:v>1.8374692176548635E-2</c:v>
                      </c:pt>
                      <c:pt idx="41">
                        <c:v>0.16666666666666674</c:v>
                      </c:pt>
                      <c:pt idx="42">
                        <c:v>9.2633928571428603E-2</c:v>
                      </c:pt>
                      <c:pt idx="43">
                        <c:v>9.0471326426382337E-3</c:v>
                      </c:pt>
                      <c:pt idx="44">
                        <c:v>-0.1550253073029646</c:v>
                      </c:pt>
                      <c:pt idx="45">
                        <c:v>0.40561355468081461</c:v>
                      </c:pt>
                      <c:pt idx="46">
                        <c:v>9.9841714355290323E-2</c:v>
                      </c:pt>
                      <c:pt idx="47">
                        <c:v>-9.8416915753348877E-2</c:v>
                      </c:pt>
                      <c:pt idx="48">
                        <c:v>-0.37856090373280948</c:v>
                      </c:pt>
                      <c:pt idx="49">
                        <c:v>0.26951195415925699</c:v>
                      </c:pt>
                      <c:pt idx="50">
                        <c:v>0.23735408560311289</c:v>
                      </c:pt>
                      <c:pt idx="51">
                        <c:v>-0.36553459119496856</c:v>
                      </c:pt>
                      <c:pt idx="52">
                        <c:v>0.16415543219666917</c:v>
                      </c:pt>
                      <c:pt idx="53">
                        <c:v>-0.22411444141689374</c:v>
                      </c:pt>
                      <c:pt idx="54">
                        <c:v>0.25592625109745404</c:v>
                      </c:pt>
                      <c:pt idx="55">
                        <c:v>0.20325061167423986</c:v>
                      </c:pt>
                      <c:pt idx="56">
                        <c:v>-3.442265795206978E-2</c:v>
                      </c:pt>
                      <c:pt idx="57">
                        <c:v>-9.0252707581227498E-2</c:v>
                      </c:pt>
                      <c:pt idx="58">
                        <c:v>8.3333333333333259E-2</c:v>
                      </c:pt>
                      <c:pt idx="59">
                        <c:v>-0.12789987789987789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8A4-4931-9BFC-139A01E5B0FF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'Part2(a)'!$T$2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'Part2(a)'!$A$3:$A$62</c15:sqref>
                        </c15:formulaRef>
                      </c:ext>
                    </c:extLst>
                    <c:numCache>
                      <c:formatCode>m/d/yyyy</c:formatCode>
                      <c:ptCount val="60"/>
                      <c:pt idx="0">
                        <c:v>43131</c:v>
                      </c:pt>
                      <c:pt idx="1">
                        <c:v>43159</c:v>
                      </c:pt>
                      <c:pt idx="2">
                        <c:v>43188</c:v>
                      </c:pt>
                      <c:pt idx="3">
                        <c:v>43220</c:v>
                      </c:pt>
                      <c:pt idx="4">
                        <c:v>43251</c:v>
                      </c:pt>
                      <c:pt idx="5">
                        <c:v>43280</c:v>
                      </c:pt>
                      <c:pt idx="6">
                        <c:v>43312</c:v>
                      </c:pt>
                      <c:pt idx="7">
                        <c:v>43343</c:v>
                      </c:pt>
                      <c:pt idx="8">
                        <c:v>43371</c:v>
                      </c:pt>
                      <c:pt idx="9">
                        <c:v>43404</c:v>
                      </c:pt>
                      <c:pt idx="10">
                        <c:v>43434</c:v>
                      </c:pt>
                      <c:pt idx="11">
                        <c:v>43465</c:v>
                      </c:pt>
                      <c:pt idx="12">
                        <c:v>43496</c:v>
                      </c:pt>
                      <c:pt idx="13">
                        <c:v>43524</c:v>
                      </c:pt>
                      <c:pt idx="14">
                        <c:v>43553</c:v>
                      </c:pt>
                      <c:pt idx="15">
                        <c:v>43585</c:v>
                      </c:pt>
                      <c:pt idx="16">
                        <c:v>43616</c:v>
                      </c:pt>
                      <c:pt idx="17">
                        <c:v>43644</c:v>
                      </c:pt>
                      <c:pt idx="18">
                        <c:v>43677</c:v>
                      </c:pt>
                      <c:pt idx="19">
                        <c:v>43707</c:v>
                      </c:pt>
                      <c:pt idx="20">
                        <c:v>43738</c:v>
                      </c:pt>
                      <c:pt idx="21">
                        <c:v>43769</c:v>
                      </c:pt>
                      <c:pt idx="22">
                        <c:v>43798</c:v>
                      </c:pt>
                      <c:pt idx="23">
                        <c:v>43830</c:v>
                      </c:pt>
                      <c:pt idx="24">
                        <c:v>43861</c:v>
                      </c:pt>
                      <c:pt idx="25">
                        <c:v>43889</c:v>
                      </c:pt>
                      <c:pt idx="26">
                        <c:v>43921</c:v>
                      </c:pt>
                      <c:pt idx="27">
                        <c:v>43951</c:v>
                      </c:pt>
                      <c:pt idx="28">
                        <c:v>43980</c:v>
                      </c:pt>
                      <c:pt idx="29">
                        <c:v>44012</c:v>
                      </c:pt>
                      <c:pt idx="30">
                        <c:v>44043</c:v>
                      </c:pt>
                      <c:pt idx="31">
                        <c:v>44074</c:v>
                      </c:pt>
                      <c:pt idx="32">
                        <c:v>44104</c:v>
                      </c:pt>
                      <c:pt idx="33">
                        <c:v>44134</c:v>
                      </c:pt>
                      <c:pt idx="34">
                        <c:v>44165</c:v>
                      </c:pt>
                      <c:pt idx="35">
                        <c:v>44196</c:v>
                      </c:pt>
                      <c:pt idx="36">
                        <c:v>44225</c:v>
                      </c:pt>
                      <c:pt idx="37">
                        <c:v>44253</c:v>
                      </c:pt>
                      <c:pt idx="38">
                        <c:v>44286</c:v>
                      </c:pt>
                      <c:pt idx="39">
                        <c:v>44316</c:v>
                      </c:pt>
                      <c:pt idx="40">
                        <c:v>44344</c:v>
                      </c:pt>
                      <c:pt idx="41">
                        <c:v>44377</c:v>
                      </c:pt>
                      <c:pt idx="42">
                        <c:v>44407</c:v>
                      </c:pt>
                      <c:pt idx="43">
                        <c:v>44439</c:v>
                      </c:pt>
                      <c:pt idx="44">
                        <c:v>44469</c:v>
                      </c:pt>
                      <c:pt idx="45">
                        <c:v>44498</c:v>
                      </c:pt>
                      <c:pt idx="46">
                        <c:v>44530</c:v>
                      </c:pt>
                      <c:pt idx="47">
                        <c:v>44561</c:v>
                      </c:pt>
                      <c:pt idx="48">
                        <c:v>44592</c:v>
                      </c:pt>
                      <c:pt idx="49">
                        <c:v>44620</c:v>
                      </c:pt>
                      <c:pt idx="50">
                        <c:v>44651</c:v>
                      </c:pt>
                      <c:pt idx="51">
                        <c:v>44680</c:v>
                      </c:pt>
                      <c:pt idx="52">
                        <c:v>44712</c:v>
                      </c:pt>
                      <c:pt idx="53">
                        <c:v>44742</c:v>
                      </c:pt>
                      <c:pt idx="54">
                        <c:v>44771</c:v>
                      </c:pt>
                      <c:pt idx="55">
                        <c:v>44804</c:v>
                      </c:pt>
                      <c:pt idx="56">
                        <c:v>44834</c:v>
                      </c:pt>
                      <c:pt idx="57">
                        <c:v>44865</c:v>
                      </c:pt>
                      <c:pt idx="58">
                        <c:v>44895</c:v>
                      </c:pt>
                      <c:pt idx="59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'Part2(a)'!$T$3:$T$62</c15:sqref>
                        </c15:formulaRef>
                      </c:ext>
                    </c:extLst>
                    <c:numCache>
                      <c:formatCode>0.0000</c:formatCode>
                      <c:ptCount val="60"/>
                      <c:pt idx="0">
                        <c:v>3.0800821355236874E-3</c:v>
                      </c:pt>
                      <c:pt idx="1">
                        <c:v>-3.0706243602866001E-3</c:v>
                      </c:pt>
                      <c:pt idx="2">
                        <c:v>3.7987679671457997E-2</c:v>
                      </c:pt>
                      <c:pt idx="3">
                        <c:v>2.0771513353115667E-2</c:v>
                      </c:pt>
                      <c:pt idx="4">
                        <c:v>1.744186046511631E-2</c:v>
                      </c:pt>
                      <c:pt idx="5">
                        <c:v>3.5238095238095291E-2</c:v>
                      </c:pt>
                      <c:pt idx="6">
                        <c:v>0.13155473781048754</c:v>
                      </c:pt>
                      <c:pt idx="7">
                        <c:v>0.12682926829268282</c:v>
                      </c:pt>
                      <c:pt idx="8">
                        <c:v>8.297258297258292E-2</c:v>
                      </c:pt>
                      <c:pt idx="9">
                        <c:v>-0.17055296469020653</c:v>
                      </c:pt>
                      <c:pt idx="10">
                        <c:v>-2.168674698795181E-2</c:v>
                      </c:pt>
                      <c:pt idx="11">
                        <c:v>-7.9638752052545114E-2</c:v>
                      </c:pt>
                      <c:pt idx="12">
                        <c:v>7.4041034790365723E-2</c:v>
                      </c:pt>
                      <c:pt idx="13">
                        <c:v>2.1594684385382035E-2</c:v>
                      </c:pt>
                      <c:pt idx="14">
                        <c:v>-2.4390243902439046E-2</c:v>
                      </c:pt>
                      <c:pt idx="15">
                        <c:v>9.8333333333333384E-2</c:v>
                      </c:pt>
                      <c:pt idx="16">
                        <c:v>-0.16312594840667682</c:v>
                      </c:pt>
                      <c:pt idx="17">
                        <c:v>4.9864007252946596E-2</c:v>
                      </c:pt>
                      <c:pt idx="18">
                        <c:v>-3.4542314335060498E-2</c:v>
                      </c:pt>
                      <c:pt idx="19">
                        <c:v>-8.6762075134168115E-2</c:v>
                      </c:pt>
                      <c:pt idx="20">
                        <c:v>8.7169441723800256E-2</c:v>
                      </c:pt>
                      <c:pt idx="21">
                        <c:v>-0.11531531531531536</c:v>
                      </c:pt>
                      <c:pt idx="22">
                        <c:v>0.10590631364562109</c:v>
                      </c:pt>
                      <c:pt idx="23">
                        <c:v>0.15837937384898715</c:v>
                      </c:pt>
                      <c:pt idx="24">
                        <c:v>-0.16375198728139906</c:v>
                      </c:pt>
                      <c:pt idx="25">
                        <c:v>-0.28612167300380231</c:v>
                      </c:pt>
                      <c:pt idx="26">
                        <c:v>-0.46737683089214377</c:v>
                      </c:pt>
                      <c:pt idx="27">
                        <c:v>0.61749999999999994</c:v>
                      </c:pt>
                      <c:pt idx="28">
                        <c:v>-0.14219474497681606</c:v>
                      </c:pt>
                      <c:pt idx="29">
                        <c:v>9.1891891891891841E-2</c:v>
                      </c:pt>
                      <c:pt idx="30">
                        <c:v>-1.320132013201325E-2</c:v>
                      </c:pt>
                      <c:pt idx="31">
                        <c:v>7.6923076923076872E-2</c:v>
                      </c:pt>
                      <c:pt idx="32">
                        <c:v>-0.19720496894409933</c:v>
                      </c:pt>
                      <c:pt idx="33">
                        <c:v>-0.160541586073501</c:v>
                      </c:pt>
                      <c:pt idx="34">
                        <c:v>0.44009216589861744</c:v>
                      </c:pt>
                      <c:pt idx="35">
                        <c:v>0.12959999999999994</c:v>
                      </c:pt>
                      <c:pt idx="36">
                        <c:v>0.19971671388101986</c:v>
                      </c:pt>
                      <c:pt idx="37">
                        <c:v>0.42384887839433283</c:v>
                      </c:pt>
                      <c:pt idx="38">
                        <c:v>-4.809286898839138E-2</c:v>
                      </c:pt>
                      <c:pt idx="39">
                        <c:v>-1.9163763066202044E-2</c:v>
                      </c:pt>
                      <c:pt idx="40">
                        <c:v>0.14742451154529301</c:v>
                      </c:pt>
                      <c:pt idx="41">
                        <c:v>0.20975232198142413</c:v>
                      </c:pt>
                      <c:pt idx="42">
                        <c:v>-0.10428662827895074</c:v>
                      </c:pt>
                      <c:pt idx="43">
                        <c:v>0.12604996623902776</c:v>
                      </c:pt>
                      <c:pt idx="44">
                        <c:v>0.13456632653061229</c:v>
                      </c:pt>
                      <c:pt idx="45">
                        <c:v>0.17369308600337274</c:v>
                      </c:pt>
                      <c:pt idx="46">
                        <c:v>-9.1475095785440663E-2</c:v>
                      </c:pt>
                      <c:pt idx="47">
                        <c:v>-5.2714812862414417E-3</c:v>
                      </c:pt>
                      <c:pt idx="48">
                        <c:v>0.14626391096979341</c:v>
                      </c:pt>
                      <c:pt idx="49">
                        <c:v>4.2885680916155522E-2</c:v>
                      </c:pt>
                      <c:pt idx="50">
                        <c:v>5.8165548098433995E-2</c:v>
                      </c:pt>
                      <c:pt idx="51">
                        <c:v>-1.7336152219873169E-2</c:v>
                      </c:pt>
                      <c:pt idx="52">
                        <c:v>0.18803786574870918</c:v>
                      </c:pt>
                      <c:pt idx="53">
                        <c:v>-0.23976819992756249</c:v>
                      </c:pt>
                      <c:pt idx="54">
                        <c:v>0.14959504525964751</c:v>
                      </c:pt>
                      <c:pt idx="55">
                        <c:v>-6.5438952182663712E-3</c:v>
                      </c:pt>
                      <c:pt idx="56">
                        <c:v>-0.1700879765395894</c:v>
                      </c:pt>
                      <c:pt idx="57">
                        <c:v>0.29631499242806658</c:v>
                      </c:pt>
                      <c:pt idx="58">
                        <c:v>1.9437830922852672E-2</c:v>
                      </c:pt>
                      <c:pt idx="59">
                        <c:v>-0.10084355828220859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8A4-4931-9BFC-139A01E5B0FF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'Part2(a)'!$U$2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'Part2(a)'!$A$3:$A$62</c15:sqref>
                        </c15:formulaRef>
                      </c:ext>
                    </c:extLst>
                    <c:numCache>
                      <c:formatCode>m/d/yyyy</c:formatCode>
                      <c:ptCount val="60"/>
                      <c:pt idx="0">
                        <c:v>43131</c:v>
                      </c:pt>
                      <c:pt idx="1">
                        <c:v>43159</c:v>
                      </c:pt>
                      <c:pt idx="2">
                        <c:v>43188</c:v>
                      </c:pt>
                      <c:pt idx="3">
                        <c:v>43220</c:v>
                      </c:pt>
                      <c:pt idx="4">
                        <c:v>43251</c:v>
                      </c:pt>
                      <c:pt idx="5">
                        <c:v>43280</c:v>
                      </c:pt>
                      <c:pt idx="6">
                        <c:v>43312</c:v>
                      </c:pt>
                      <c:pt idx="7">
                        <c:v>43343</c:v>
                      </c:pt>
                      <c:pt idx="8">
                        <c:v>43371</c:v>
                      </c:pt>
                      <c:pt idx="9">
                        <c:v>43404</c:v>
                      </c:pt>
                      <c:pt idx="10">
                        <c:v>43434</c:v>
                      </c:pt>
                      <c:pt idx="11">
                        <c:v>43465</c:v>
                      </c:pt>
                      <c:pt idx="12">
                        <c:v>43496</c:v>
                      </c:pt>
                      <c:pt idx="13">
                        <c:v>43524</c:v>
                      </c:pt>
                      <c:pt idx="14">
                        <c:v>43553</c:v>
                      </c:pt>
                      <c:pt idx="15">
                        <c:v>43585</c:v>
                      </c:pt>
                      <c:pt idx="16">
                        <c:v>43616</c:v>
                      </c:pt>
                      <c:pt idx="17">
                        <c:v>43644</c:v>
                      </c:pt>
                      <c:pt idx="18">
                        <c:v>43677</c:v>
                      </c:pt>
                      <c:pt idx="19">
                        <c:v>43707</c:v>
                      </c:pt>
                      <c:pt idx="20">
                        <c:v>43738</c:v>
                      </c:pt>
                      <c:pt idx="21">
                        <c:v>43769</c:v>
                      </c:pt>
                      <c:pt idx="22">
                        <c:v>43798</c:v>
                      </c:pt>
                      <c:pt idx="23">
                        <c:v>43830</c:v>
                      </c:pt>
                      <c:pt idx="24">
                        <c:v>43861</c:v>
                      </c:pt>
                      <c:pt idx="25">
                        <c:v>43889</c:v>
                      </c:pt>
                      <c:pt idx="26">
                        <c:v>43921</c:v>
                      </c:pt>
                      <c:pt idx="27">
                        <c:v>43951</c:v>
                      </c:pt>
                      <c:pt idx="28">
                        <c:v>43980</c:v>
                      </c:pt>
                      <c:pt idx="29">
                        <c:v>44012</c:v>
                      </c:pt>
                      <c:pt idx="30">
                        <c:v>44043</c:v>
                      </c:pt>
                      <c:pt idx="31">
                        <c:v>44074</c:v>
                      </c:pt>
                      <c:pt idx="32">
                        <c:v>44104</c:v>
                      </c:pt>
                      <c:pt idx="33">
                        <c:v>44134</c:v>
                      </c:pt>
                      <c:pt idx="34">
                        <c:v>44165</c:v>
                      </c:pt>
                      <c:pt idx="35">
                        <c:v>44196</c:v>
                      </c:pt>
                      <c:pt idx="36">
                        <c:v>44225</c:v>
                      </c:pt>
                      <c:pt idx="37">
                        <c:v>44253</c:v>
                      </c:pt>
                      <c:pt idx="38">
                        <c:v>44286</c:v>
                      </c:pt>
                      <c:pt idx="39">
                        <c:v>44316</c:v>
                      </c:pt>
                      <c:pt idx="40">
                        <c:v>44344</c:v>
                      </c:pt>
                      <c:pt idx="41">
                        <c:v>44377</c:v>
                      </c:pt>
                      <c:pt idx="42">
                        <c:v>44407</c:v>
                      </c:pt>
                      <c:pt idx="43">
                        <c:v>44439</c:v>
                      </c:pt>
                      <c:pt idx="44">
                        <c:v>44469</c:v>
                      </c:pt>
                      <c:pt idx="45">
                        <c:v>44498</c:v>
                      </c:pt>
                      <c:pt idx="46">
                        <c:v>44530</c:v>
                      </c:pt>
                      <c:pt idx="47">
                        <c:v>44561</c:v>
                      </c:pt>
                      <c:pt idx="48">
                        <c:v>44592</c:v>
                      </c:pt>
                      <c:pt idx="49">
                        <c:v>44620</c:v>
                      </c:pt>
                      <c:pt idx="50">
                        <c:v>44651</c:v>
                      </c:pt>
                      <c:pt idx="51">
                        <c:v>44680</c:v>
                      </c:pt>
                      <c:pt idx="52">
                        <c:v>44712</c:v>
                      </c:pt>
                      <c:pt idx="53">
                        <c:v>44742</c:v>
                      </c:pt>
                      <c:pt idx="54">
                        <c:v>44771</c:v>
                      </c:pt>
                      <c:pt idx="55">
                        <c:v>44804</c:v>
                      </c:pt>
                      <c:pt idx="56">
                        <c:v>44834</c:v>
                      </c:pt>
                      <c:pt idx="57">
                        <c:v>44865</c:v>
                      </c:pt>
                      <c:pt idx="58">
                        <c:v>44895</c:v>
                      </c:pt>
                      <c:pt idx="59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'Part2(a)'!$U$3:$U$62</c15:sqref>
                        </c15:formulaRef>
                      </c:ext>
                    </c:extLst>
                    <c:numCache>
                      <c:formatCode>0.0000</c:formatCode>
                      <c:ptCount val="60"/>
                      <c:pt idx="0">
                        <c:v>-2.1239999999999998E-2</c:v>
                      </c:pt>
                      <c:pt idx="1">
                        <c:v>0.19303999999999999</c:v>
                      </c:pt>
                      <c:pt idx="2">
                        <c:v>-2.8639999999999999E-2</c:v>
                      </c:pt>
                      <c:pt idx="3">
                        <c:v>-2.5250000000000002E-2</c:v>
                      </c:pt>
                      <c:pt idx="4">
                        <c:v>-0.18756999999999999</c:v>
                      </c:pt>
                      <c:pt idx="5">
                        <c:v>5.3620000000000001E-2</c:v>
                      </c:pt>
                      <c:pt idx="6">
                        <c:v>-1.2959999999999999E-2</c:v>
                      </c:pt>
                      <c:pt idx="7">
                        <c:v>0.12217</c:v>
                      </c:pt>
                      <c:pt idx="8">
                        <c:v>-8.4760000000000002E-2</c:v>
                      </c:pt>
                      <c:pt idx="9">
                        <c:v>-0.2596</c:v>
                      </c:pt>
                      <c:pt idx="10">
                        <c:v>8.072E-2</c:v>
                      </c:pt>
                      <c:pt idx="11">
                        <c:v>-0.24786</c:v>
                      </c:pt>
                      <c:pt idx="12">
                        <c:v>9.6589999999999995E-2</c:v>
                      </c:pt>
                      <c:pt idx="13">
                        <c:v>0.10052</c:v>
                      </c:pt>
                      <c:pt idx="14">
                        <c:v>-0.18437000000000001</c:v>
                      </c:pt>
                      <c:pt idx="15">
                        <c:v>2.605E-2</c:v>
                      </c:pt>
                      <c:pt idx="16">
                        <c:v>-0.29388999999999998</c:v>
                      </c:pt>
                      <c:pt idx="17">
                        <c:v>-5.4960000000000002E-2</c:v>
                      </c:pt>
                      <c:pt idx="18">
                        <c:v>0.42984</c:v>
                      </c:pt>
                      <c:pt idx="19">
                        <c:v>-0.18003</c:v>
                      </c:pt>
                      <c:pt idx="20">
                        <c:v>0.16908000000000001</c:v>
                      </c:pt>
                      <c:pt idx="21">
                        <c:v>-0.56898000000000004</c:v>
                      </c:pt>
                      <c:pt idx="22">
                        <c:v>2.674E-2</c:v>
                      </c:pt>
                      <c:pt idx="23">
                        <c:v>4.0090000000000001E-2</c:v>
                      </c:pt>
                      <c:pt idx="24">
                        <c:v>-8.9940000000000006E-2</c:v>
                      </c:pt>
                      <c:pt idx="25">
                        <c:v>0.16522999999999999</c:v>
                      </c:pt>
                      <c:pt idx="26">
                        <c:v>-0.47499999999999998</c:v>
                      </c:pt>
                      <c:pt idx="27">
                        <c:v>0.47619</c:v>
                      </c:pt>
                      <c:pt idx="28">
                        <c:v>-0.23386999999999999</c:v>
                      </c:pt>
                      <c:pt idx="29">
                        <c:v>0.14035</c:v>
                      </c:pt>
                      <c:pt idx="30">
                        <c:v>-4.308E-2</c:v>
                      </c:pt>
                      <c:pt idx="31">
                        <c:v>0.12218999999999999</c:v>
                      </c:pt>
                      <c:pt idx="32">
                        <c:v>-0.13181000000000001</c:v>
                      </c:pt>
                      <c:pt idx="33">
                        <c:v>-0.25083</c:v>
                      </c:pt>
                      <c:pt idx="34">
                        <c:v>0.36564000000000002</c:v>
                      </c:pt>
                      <c:pt idx="35">
                        <c:v>0.23225999999999999</c:v>
                      </c:pt>
                      <c:pt idx="36">
                        <c:v>0.22513</c:v>
                      </c:pt>
                      <c:pt idx="37">
                        <c:v>-6.4100000000000004E-2</c:v>
                      </c:pt>
                      <c:pt idx="38">
                        <c:v>-0.19406000000000001</c:v>
                      </c:pt>
                      <c:pt idx="39">
                        <c:v>1.983E-2</c:v>
                      </c:pt>
                      <c:pt idx="40">
                        <c:v>-8.0560000000000007E-2</c:v>
                      </c:pt>
                      <c:pt idx="41">
                        <c:v>0.25378000000000001</c:v>
                      </c:pt>
                      <c:pt idx="42">
                        <c:v>-0.15662999999999999</c:v>
                      </c:pt>
                      <c:pt idx="43">
                        <c:v>0.18285999999999999</c:v>
                      </c:pt>
                      <c:pt idx="44">
                        <c:v>2.657E-2</c:v>
                      </c:pt>
                      <c:pt idx="45">
                        <c:v>-7.2940000000000005E-2</c:v>
                      </c:pt>
                      <c:pt idx="46">
                        <c:v>2.0299999999999999E-2</c:v>
                      </c:pt>
                      <c:pt idx="47">
                        <c:v>-4.9800000000000001E-3</c:v>
                      </c:pt>
                      <c:pt idx="48">
                        <c:v>0.11</c:v>
                      </c:pt>
                      <c:pt idx="49">
                        <c:v>0.23422999999999999</c:v>
                      </c:pt>
                      <c:pt idx="50">
                        <c:v>0.26641999999999999</c:v>
                      </c:pt>
                      <c:pt idx="51">
                        <c:v>-2.3050000000000001E-2</c:v>
                      </c:pt>
                      <c:pt idx="52">
                        <c:v>-0.40708</c:v>
                      </c:pt>
                      <c:pt idx="53">
                        <c:v>-0.31591999999999998</c:v>
                      </c:pt>
                      <c:pt idx="54">
                        <c:v>0.15636</c:v>
                      </c:pt>
                      <c:pt idx="55">
                        <c:v>-6.2899999999999996E-3</c:v>
                      </c:pt>
                      <c:pt idx="56">
                        <c:v>-0.18987000000000001</c:v>
                      </c:pt>
                      <c:pt idx="57">
                        <c:v>8.5940000000000003E-2</c:v>
                      </c:pt>
                      <c:pt idx="58">
                        <c:v>0.33094000000000001</c:v>
                      </c:pt>
                      <c:pt idx="59">
                        <c:v>0.1027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8A4-4931-9BFC-139A01E5B0FF}"/>
                  </c:ext>
                </c:extLst>
              </c15:ser>
            </c15:filteredLineSeries>
          </c:ext>
        </c:extLst>
      </c:lineChart>
      <c:catAx>
        <c:axId val="914746351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747311"/>
        <c:crosses val="autoZero"/>
        <c:auto val="0"/>
        <c:lblAlgn val="ctr"/>
        <c:lblOffset val="100"/>
        <c:tickLblSkip val="12"/>
        <c:noMultiLvlLbl val="1"/>
      </c:catAx>
      <c:valAx>
        <c:axId val="914747311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746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[ExcelProject.xlsm]Part4!PivotTable2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MY"/>
              <a:t>The Portfolio</a:t>
            </a:r>
            <a:r>
              <a:rPr lang="en-MY" baseline="0"/>
              <a:t> Weight of Each Risk by Sector</a:t>
            </a:r>
            <a:endParaRPr lang="en-MY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Part4!$M$23</c:f>
              <c:strCache>
                <c:ptCount val="1"/>
                <c:pt idx="0">
                  <c:v>Low-Risk Port.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Part4!$L$24:$L$32</c:f>
              <c:strCache>
                <c:ptCount val="8"/>
                <c:pt idx="0">
                  <c:v>Communication services</c:v>
                </c:pt>
                <c:pt idx="1">
                  <c:v>Consumer cyclical</c:v>
                </c:pt>
                <c:pt idx="2">
                  <c:v>Energy </c:v>
                </c:pt>
                <c:pt idx="3">
                  <c:v>Financial Services</c:v>
                </c:pt>
                <c:pt idx="4">
                  <c:v>Industrials</c:v>
                </c:pt>
                <c:pt idx="5">
                  <c:v>Real Estate</c:v>
                </c:pt>
                <c:pt idx="6">
                  <c:v>Technology</c:v>
                </c:pt>
                <c:pt idx="7">
                  <c:v>Utilities</c:v>
                </c:pt>
              </c:strCache>
            </c:strRef>
          </c:cat>
          <c:val>
            <c:numRef>
              <c:f>Part4!$M$24:$M$32</c:f>
              <c:numCache>
                <c:formatCode>General</c:formatCode>
                <c:ptCount val="8"/>
                <c:pt idx="0">
                  <c:v>-8.1429803531585687E-2</c:v>
                </c:pt>
                <c:pt idx="1">
                  <c:v>5.3634420496996849E-3</c:v>
                </c:pt>
                <c:pt idx="2">
                  <c:v>-0.10945769691214824</c:v>
                </c:pt>
                <c:pt idx="3">
                  <c:v>6.2925792902447333E-2</c:v>
                </c:pt>
                <c:pt idx="4">
                  <c:v>0.13442784843494104</c:v>
                </c:pt>
                <c:pt idx="5">
                  <c:v>0.50714615251886686</c:v>
                </c:pt>
                <c:pt idx="6">
                  <c:v>2.2445067144921289E-2</c:v>
                </c:pt>
                <c:pt idx="7">
                  <c:v>0.45857920307969086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BD-44EE-8732-BA7AAD6B0232}"/>
            </c:ext>
          </c:extLst>
        </c:ser>
        <c:ser>
          <c:idx val="1"/>
          <c:order val="1"/>
          <c:tx>
            <c:strRef>
              <c:f>Part4!$N$23</c:f>
              <c:strCache>
                <c:ptCount val="1"/>
                <c:pt idx="0">
                  <c:v>Medium-Risk Port.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Part4!$L$24:$L$32</c:f>
              <c:strCache>
                <c:ptCount val="8"/>
                <c:pt idx="0">
                  <c:v>Communication services</c:v>
                </c:pt>
                <c:pt idx="1">
                  <c:v>Consumer cyclical</c:v>
                </c:pt>
                <c:pt idx="2">
                  <c:v>Energy </c:v>
                </c:pt>
                <c:pt idx="3">
                  <c:v>Financial Services</c:v>
                </c:pt>
                <c:pt idx="4">
                  <c:v>Industrials</c:v>
                </c:pt>
                <c:pt idx="5">
                  <c:v>Real Estate</c:v>
                </c:pt>
                <c:pt idx="6">
                  <c:v>Technology</c:v>
                </c:pt>
                <c:pt idx="7">
                  <c:v>Utilities</c:v>
                </c:pt>
              </c:strCache>
            </c:strRef>
          </c:cat>
          <c:val>
            <c:numRef>
              <c:f>Part4!$N$24:$N$32</c:f>
              <c:numCache>
                <c:formatCode>General</c:formatCode>
                <c:ptCount val="8"/>
                <c:pt idx="0">
                  <c:v>-0.39896303745033301</c:v>
                </c:pt>
                <c:pt idx="1">
                  <c:v>6.9609842917148321E-2</c:v>
                </c:pt>
                <c:pt idx="2">
                  <c:v>0.15888065105122992</c:v>
                </c:pt>
                <c:pt idx="3">
                  <c:v>6.2159453410987201E-3</c:v>
                </c:pt>
                <c:pt idx="4">
                  <c:v>0.43314091506431901</c:v>
                </c:pt>
                <c:pt idx="5">
                  <c:v>5.8322748552316894E-2</c:v>
                </c:pt>
                <c:pt idx="6">
                  <c:v>1.4473895826637856E-2</c:v>
                </c:pt>
                <c:pt idx="7">
                  <c:v>0.6583190808785474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BD-44EE-8732-BA7AAD6B0232}"/>
            </c:ext>
          </c:extLst>
        </c:ser>
        <c:ser>
          <c:idx val="2"/>
          <c:order val="2"/>
          <c:tx>
            <c:strRef>
              <c:f>Part4!$O$23</c:f>
              <c:strCache>
                <c:ptCount val="1"/>
                <c:pt idx="0">
                  <c:v>High-Risk Port.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Part4!$L$24:$L$32</c:f>
              <c:strCache>
                <c:ptCount val="8"/>
                <c:pt idx="0">
                  <c:v>Communication services</c:v>
                </c:pt>
                <c:pt idx="1">
                  <c:v>Consumer cyclical</c:v>
                </c:pt>
                <c:pt idx="2">
                  <c:v>Energy </c:v>
                </c:pt>
                <c:pt idx="3">
                  <c:v>Financial Services</c:v>
                </c:pt>
                <c:pt idx="4">
                  <c:v>Industrials</c:v>
                </c:pt>
                <c:pt idx="5">
                  <c:v>Real Estate</c:v>
                </c:pt>
                <c:pt idx="6">
                  <c:v>Technology</c:v>
                </c:pt>
                <c:pt idx="7">
                  <c:v>Utilities</c:v>
                </c:pt>
              </c:strCache>
            </c:strRef>
          </c:cat>
          <c:val>
            <c:numRef>
              <c:f>Part4!$O$24:$O$32</c:f>
              <c:numCache>
                <c:formatCode>General</c:formatCode>
                <c:ptCount val="8"/>
                <c:pt idx="0">
                  <c:v>-0.57501041374715167</c:v>
                </c:pt>
                <c:pt idx="1">
                  <c:v>0.10592774972358285</c:v>
                </c:pt>
                <c:pt idx="2">
                  <c:v>0.30708640472292681</c:v>
                </c:pt>
                <c:pt idx="3">
                  <c:v>-2.7617916516135693E-2</c:v>
                </c:pt>
                <c:pt idx="4">
                  <c:v>0.60659007755612937</c:v>
                </c:pt>
                <c:pt idx="5">
                  <c:v>-0.19420492144664936</c:v>
                </c:pt>
                <c:pt idx="6">
                  <c:v>1.0511633933043663E-2</c:v>
                </c:pt>
                <c:pt idx="7">
                  <c:v>0.76671739760262836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BD-44EE-8732-BA7AAD6B0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89653264"/>
        <c:axId val="889651344"/>
      </c:barChart>
      <c:catAx>
        <c:axId val="88965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651344"/>
        <c:crosses val="autoZero"/>
        <c:auto val="1"/>
        <c:lblAlgn val="ctr"/>
        <c:lblOffset val="100"/>
        <c:noMultiLvlLbl val="0"/>
      </c:catAx>
      <c:valAx>
        <c:axId val="88965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MY"/>
                  <a:t>Weight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653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316705</xdr:colOff>
      <xdr:row>62</xdr:row>
      <xdr:rowOff>100013</xdr:rowOff>
    </xdr:from>
    <xdr:to>
      <xdr:col>6</xdr:col>
      <xdr:colOff>200024</xdr:colOff>
      <xdr:row>78</xdr:row>
      <xdr:rowOff>138113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741434-BEF6-07B1-9C9F-D7E5EE9F6E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523874</xdr:colOff>
      <xdr:row>62</xdr:row>
      <xdr:rowOff>109538</xdr:rowOff>
    </xdr:from>
    <xdr:to>
      <xdr:col>12</xdr:col>
      <xdr:colOff>409574</xdr:colOff>
      <xdr:row>78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C187EFC-1EA8-4C84-9E77-D6CE13A12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22412</xdr:colOff>
      <xdr:row>26</xdr:row>
      <xdr:rowOff>5602</xdr:rowOff>
    </xdr:from>
    <xdr:to>
      <xdr:col>15</xdr:col>
      <xdr:colOff>397809</xdr:colOff>
      <xdr:row>45</xdr:row>
      <xdr:rowOff>39220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79BCD3-1DDD-41D6-8D21-2EC755B88D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16809</xdr:colOff>
      <xdr:row>8</xdr:row>
      <xdr:rowOff>33618</xdr:rowOff>
    </xdr:from>
    <xdr:to>
      <xdr:col>10</xdr:col>
      <xdr:colOff>476251</xdr:colOff>
      <xdr:row>11</xdr:row>
      <xdr:rowOff>28015</xdr:rowOff>
    </xdr:to>
    <xdr:sp macro="[0]!FrontierwithoutShortSale" textlink="">
      <xdr:nvSpPr>
        <xdr:cNvPr id="4" name="Frontier withoutShortSale">
          <a:extLst>
            <a:ext uri="{FF2B5EF4-FFF2-40B4-BE49-F238E27FC236}">
              <a16:creationId xmlns:a16="http://schemas.microsoft.com/office/drawing/2014/main" id="{E1953E3D-6016-8919-6FB6-995BBBDFFB9B}"/>
            </a:ext>
          </a:extLst>
        </xdr:cNvPr>
        <xdr:cNvSpPr/>
      </xdr:nvSpPr>
      <xdr:spPr>
        <a:xfrm>
          <a:off x="9569824" y="1467971"/>
          <a:ext cx="2235574" cy="53227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100"/>
            <a:t>Frontier</a:t>
          </a:r>
          <a:r>
            <a:rPr lang="en-MY" sz="1100" baseline="0"/>
            <a:t> without Short Sale</a:t>
          </a:r>
        </a:p>
      </xdr:txBody>
    </xdr:sp>
    <xdr:clientData/>
  </xdr:twoCellAnchor>
  <xdr:twoCellAnchor>
    <xdr:from>
      <xdr:col>8</xdr:col>
      <xdr:colOff>29135</xdr:colOff>
      <xdr:row>12</xdr:row>
      <xdr:rowOff>1121</xdr:rowOff>
    </xdr:from>
    <xdr:to>
      <xdr:col>10</xdr:col>
      <xdr:colOff>488577</xdr:colOff>
      <xdr:row>14</xdr:row>
      <xdr:rowOff>174811</xdr:rowOff>
    </xdr:to>
    <xdr:sp macro="[0]!FrontierwithShortSale" textlink="">
      <xdr:nvSpPr>
        <xdr:cNvPr id="5" name="Frontier withoutShortSale">
          <a:extLst>
            <a:ext uri="{FF2B5EF4-FFF2-40B4-BE49-F238E27FC236}">
              <a16:creationId xmlns:a16="http://schemas.microsoft.com/office/drawing/2014/main" id="{5B1DE437-F089-48D3-B2D5-68748D322D65}"/>
            </a:ext>
          </a:extLst>
        </xdr:cNvPr>
        <xdr:cNvSpPr/>
      </xdr:nvSpPr>
      <xdr:spPr>
        <a:xfrm>
          <a:off x="9582150" y="2152650"/>
          <a:ext cx="2235574" cy="53227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100"/>
            <a:t>Frontier</a:t>
          </a:r>
          <a:r>
            <a:rPr lang="en-MY" sz="1100" baseline="0"/>
            <a:t> with Short Sale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604838</xdr:colOff>
      <xdr:row>5</xdr:row>
      <xdr:rowOff>133350</xdr:rowOff>
    </xdr:from>
    <xdr:to>
      <xdr:col>16</xdr:col>
      <xdr:colOff>76200</xdr:colOff>
      <xdr:row>23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274C089-E086-4901-B38C-42AB9F83A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5</xdr:row>
      <xdr:rowOff>147638</xdr:rowOff>
    </xdr:from>
    <xdr:to>
      <xdr:col>6</xdr:col>
      <xdr:colOff>352425</xdr:colOff>
      <xdr:row>23</xdr:row>
      <xdr:rowOff>109538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EE5B1CC-B029-4748-B646-EFC868139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2</xdr:row>
      <xdr:rowOff>18369</xdr:rowOff>
    </xdr:from>
    <xdr:to>
      <xdr:col>19</xdr:col>
      <xdr:colOff>26533</xdr:colOff>
      <xdr:row>19</xdr:row>
      <xdr:rowOff>150038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9616D8-D872-4332-A3CF-BDFF1AFA2D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</xdr:colOff>
      <xdr:row>24</xdr:row>
      <xdr:rowOff>0</xdr:rowOff>
    </xdr:from>
    <xdr:to>
      <xdr:col>17</xdr:col>
      <xdr:colOff>496661</xdr:colOff>
      <xdr:row>41</xdr:row>
      <xdr:rowOff>85404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3BF83B4-CE83-4585-8E56-5331E05A29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347662</xdr:colOff>
      <xdr:row>2</xdr:row>
      <xdr:rowOff>58509</xdr:rowOff>
    </xdr:from>
    <xdr:to>
      <xdr:col>9</xdr:col>
      <xdr:colOff>400050</xdr:colOff>
      <xdr:row>19</xdr:row>
      <xdr:rowOff>72797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A2E74E-C764-4717-A5C6-4663E9C69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27694</xdr:colOff>
      <xdr:row>2</xdr:row>
      <xdr:rowOff>108177</xdr:rowOff>
    </xdr:from>
    <xdr:to>
      <xdr:col>19</xdr:col>
      <xdr:colOff>77041</xdr:colOff>
      <xdr:row>19</xdr:row>
      <xdr:rowOff>136070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C5EDBD-D767-4291-A34D-D2E53B8582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347381</xdr:colOff>
      <xdr:row>34</xdr:row>
      <xdr:rowOff>85164</xdr:rowOff>
    </xdr:from>
    <xdr:to>
      <xdr:col>15</xdr:col>
      <xdr:colOff>280147</xdr:colOff>
      <xdr:row>53</xdr:row>
      <xdr:rowOff>98051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54A3B85-7015-85A6-3C49-54D2848E51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onashuni-my.sharepoint.com/Users/reito/Desktop/BFW3540/Assessment2/Assignment%202_Return_Data.xlsm" TargetMode="External"/><Relationship Id="rId1" Type="http://schemas.openxmlformats.org/officeDocument/2006/relationships/externalLinkPath" Target="https://monashuni-my.sharepoint.com/Users/reito/Desktop/BFW3540/Assessment2/Assignment%202_Return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onashuni-my.sharepoint.com/Users/reito/Desktop/BFW3540/W5/Tutorial%205-20240819/Excel%20Template%20Tutorial%205.xlsm" TargetMode="External"/><Relationship Id="rId1" Type="http://schemas.openxmlformats.org/officeDocument/2006/relationships/externalLinkPath" Target="https://monashuni-my.sharepoint.com/Users/reito/Desktop/BFW3540/W5/Tutorial%205-20240819/Excel%20Template%20Tutorial%2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awData"/>
      <sheetName val="Tut4"/>
      <sheetName val="Tut5"/>
      <sheetName val="Sheet3"/>
      <sheetName val="Return_Data_Group4_latest"/>
      <sheetName val="Sheet7"/>
    </sheetNames>
    <sheetDataSet>
      <sheetData sheetId="0"/>
      <sheetData sheetId="1">
        <row r="2">
          <cell r="B2">
            <v>-7.8303999999999999E-2</v>
          </cell>
          <cell r="G2">
            <v>0.10340659999999999</v>
          </cell>
        </row>
        <row r="3">
          <cell r="G3">
            <v>6.9122200000000023E-2</v>
          </cell>
        </row>
        <row r="4">
          <cell r="G4">
            <v>-1.48702E-2</v>
          </cell>
        </row>
        <row r="5">
          <cell r="G5">
            <v>8.0038000000000012E-2</v>
          </cell>
        </row>
        <row r="6">
          <cell r="G6">
            <v>7.1617399999999998E-2</v>
          </cell>
        </row>
        <row r="7">
          <cell r="G7">
            <v>8.4625999999999955E-3</v>
          </cell>
        </row>
        <row r="8">
          <cell r="G8">
            <v>-9.5059400000000002E-2</v>
          </cell>
        </row>
        <row r="9">
          <cell r="G9">
            <v>5.9018900000000006E-2</v>
          </cell>
        </row>
        <row r="10">
          <cell r="G10">
            <v>2.8043099999999998E-2</v>
          </cell>
        </row>
        <row r="11">
          <cell r="G11">
            <v>7.8264399999999998E-2</v>
          </cell>
          <cell r="K11">
            <v>0.29589552654428608</v>
          </cell>
          <cell r="M11">
            <v>0.1</v>
          </cell>
        </row>
        <row r="12">
          <cell r="G12">
            <v>4.69223E-2</v>
          </cell>
          <cell r="K12">
            <v>0</v>
          </cell>
          <cell r="M12">
            <v>0.2</v>
          </cell>
        </row>
        <row r="13">
          <cell r="G13">
            <v>1.9699600000000001E-2</v>
          </cell>
          <cell r="K13">
            <v>0.70410447563002676</v>
          </cell>
          <cell r="M13">
            <v>0.8</v>
          </cell>
        </row>
        <row r="14">
          <cell r="G14">
            <v>3.5666799999999999E-2</v>
          </cell>
          <cell r="K14">
            <v>0</v>
          </cell>
          <cell r="M14">
            <v>-0.10000000000000009</v>
          </cell>
        </row>
        <row r="15">
          <cell r="G15">
            <v>7.033819999999999E-2</v>
          </cell>
        </row>
        <row r="16">
          <cell r="G16">
            <v>-1.5660900000000002E-2</v>
          </cell>
        </row>
        <row r="17">
          <cell r="G17">
            <v>3.4829300000000001E-2</v>
          </cell>
        </row>
        <row r="18">
          <cell r="G18">
            <v>7.2607599999999994E-2</v>
          </cell>
        </row>
        <row r="19">
          <cell r="G19">
            <v>-6.3124100000000002E-2</v>
          </cell>
        </row>
        <row r="20">
          <cell r="G20">
            <v>3.1756300000000001E-2</v>
          </cell>
        </row>
        <row r="21">
          <cell r="G21">
            <v>9.0440199999999998E-2</v>
          </cell>
        </row>
        <row r="22">
          <cell r="G22">
            <v>-2.8147299999999993E-2</v>
          </cell>
        </row>
        <row r="23">
          <cell r="G23">
            <v>3.2973999999999996E-2</v>
          </cell>
        </row>
        <row r="24">
          <cell r="G24">
            <v>3.10327E-2</v>
          </cell>
        </row>
        <row r="25">
          <cell r="G25">
            <v>-3.7524599999999991E-2</v>
          </cell>
        </row>
        <row r="26">
          <cell r="G26">
            <v>-2.5619100000000002E-2</v>
          </cell>
        </row>
        <row r="27">
          <cell r="G27">
            <v>-6.5905199999999997E-2</v>
          </cell>
        </row>
        <row r="28">
          <cell r="G28">
            <v>-2.1130900000000005E-2</v>
          </cell>
        </row>
        <row r="29">
          <cell r="G29">
            <v>6.8209799999999987E-2</v>
          </cell>
        </row>
        <row r="30">
          <cell r="G30">
            <v>5.8401000000000052E-3</v>
          </cell>
        </row>
        <row r="31">
          <cell r="G31">
            <v>-8.833690000000001E-2</v>
          </cell>
        </row>
        <row r="32">
          <cell r="G32">
            <v>-6.7923700000000004E-2</v>
          </cell>
        </row>
        <row r="33">
          <cell r="G33">
            <v>-6.0186000000000085E-3</v>
          </cell>
        </row>
        <row r="34">
          <cell r="G34">
            <v>0.13273959999999999</v>
          </cell>
        </row>
        <row r="35">
          <cell r="G35">
            <v>-0.1263891</v>
          </cell>
        </row>
        <row r="36">
          <cell r="G36">
            <v>7.10258E-2</v>
          </cell>
        </row>
        <row r="37">
          <cell r="G37">
            <v>-3.88914E-2</v>
          </cell>
        </row>
        <row r="38">
          <cell r="G38">
            <v>8.7147199999999994E-2</v>
          </cell>
        </row>
        <row r="39">
          <cell r="G39">
            <v>1.7491999999999997E-2</v>
          </cell>
        </row>
        <row r="40">
          <cell r="G40">
            <v>5.1718400000000012E-2</v>
          </cell>
        </row>
        <row r="41">
          <cell r="G41">
            <v>3.4574000000000033E-3</v>
          </cell>
        </row>
        <row r="42">
          <cell r="G42">
            <v>-3.1879999999999626E-4</v>
          </cell>
        </row>
        <row r="43">
          <cell r="G43">
            <v>4.4790400000000001E-2</v>
          </cell>
        </row>
        <row r="44">
          <cell r="G44">
            <v>4.9999000000000002E-2</v>
          </cell>
        </row>
        <row r="45">
          <cell r="G45">
            <v>0.1028469</v>
          </cell>
        </row>
        <row r="46">
          <cell r="G46">
            <v>3.6684800000000004E-2</v>
          </cell>
        </row>
        <row r="47">
          <cell r="G47">
            <v>-1.36718E-2</v>
          </cell>
        </row>
        <row r="48">
          <cell r="G48">
            <v>5.6597800000000018E-2</v>
          </cell>
        </row>
        <row r="49">
          <cell r="G49">
            <v>-4.4772300000000001E-2</v>
          </cell>
        </row>
        <row r="50">
          <cell r="G50">
            <v>1.8317499999999994E-2</v>
          </cell>
        </row>
        <row r="51">
          <cell r="G51">
            <v>8.6297700000000005E-2</v>
          </cell>
        </row>
        <row r="52">
          <cell r="G52">
            <v>-5.0111700000000002E-2</v>
          </cell>
        </row>
        <row r="53">
          <cell r="G53">
            <v>9.9083200000000024E-2</v>
          </cell>
        </row>
        <row r="54">
          <cell r="G54">
            <v>1.0581499999999992E-2</v>
          </cell>
        </row>
        <row r="55">
          <cell r="G55">
            <v>-1.3964500000000003E-2</v>
          </cell>
        </row>
        <row r="56">
          <cell r="G56">
            <v>6.7464999999999921E-3</v>
          </cell>
        </row>
        <row r="57">
          <cell r="G57">
            <v>3.7642599999999998E-2</v>
          </cell>
        </row>
        <row r="58">
          <cell r="G58">
            <v>-4.7966500000000002E-2</v>
          </cell>
        </row>
        <row r="59">
          <cell r="G59">
            <v>-2.4625200000000007E-2</v>
          </cell>
        </row>
        <row r="60">
          <cell r="G60">
            <v>0.1149801</v>
          </cell>
        </row>
        <row r="61">
          <cell r="G61">
            <v>-1.0794900000000001E-2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function_call_function"/>
    </sheetNames>
    <sheetDataSet>
      <sheetData sheetId="0"/>
      <sheetData sheetId="1">
        <row r="3">
          <cell r="H3">
            <v>42</v>
          </cell>
        </row>
        <row r="4">
          <cell r="H4">
            <v>0.1</v>
          </cell>
        </row>
        <row r="5">
          <cell r="H5">
            <v>0.5</v>
          </cell>
        </row>
        <row r="6">
          <cell r="H6">
            <v>0.2</v>
          </cell>
        </row>
        <row r="7">
          <cell r="H7">
            <v>40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SUS/AppData/Local/Microsoft/Windows/INetCache/IE/DSQ66FL2/BFW3540_Excel%5b1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5556.781080208333" createdVersion="8" refreshedVersion="8" minRefreshableVersion="3" recordCount="20" xr:uid="{761364F6-D8BE-425E-A23B-AB648ADF6313}">
  <cacheSource type="worksheet">
    <worksheetSource ref="C23:G43" sheet=".xlsm]Part4" r:id="rId2"/>
  </cacheSource>
  <cacheFields count="5">
    <cacheField name="Stock" numFmtId="0">
      <sharedItems/>
    </cacheField>
    <cacheField name="Low-Risk" numFmtId="0">
      <sharedItems containsSemiMixedTypes="0" containsString="0" containsNumber="1" minValue="-0.11464075508742642" maxValue="0.5402910696333284"/>
    </cacheField>
    <cacheField name="Medium-Risk" numFmtId="0">
      <sharedItems containsSemiMixedTypes="0" containsString="0" containsNumber="1" minValue="-0.22485374225451835" maxValue="0.6583190808785474"/>
    </cacheField>
    <cacheField name="High-Risk" numFmtId="0">
      <sharedItems containsSemiMixedTypes="0" containsString="0" containsNumber="1" minValue="-0.31485521509363179" maxValue="0.76671739760262836"/>
    </cacheField>
    <cacheField name="Sector" numFmtId="0">
      <sharedItems count="8">
        <s v="Real Estate"/>
        <s v="Energy "/>
        <s v="Consumer cyclical"/>
        <s v="Communication services"/>
        <s v="Industrials"/>
        <s v="Technology"/>
        <s v="Financial Services"/>
        <s v="Utiliti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s v="WTTR"/>
    <n v="-2.4085729781583656E-2"/>
    <n v="-5.3580896389220097E-2"/>
    <n v="-7.1278590831019353E-2"/>
    <x v="0"/>
  </r>
  <r>
    <s v="ALTM"/>
    <n v="-2.3030340993480558E-2"/>
    <n v="-1.2374171639577042E-2"/>
    <n v="-7.3823044965578219E-3"/>
    <x v="1"/>
  </r>
  <r>
    <s v="APPN"/>
    <n v="1.1766221241766042E-2"/>
    <n v="7.3791707001489862E-2"/>
    <n v="0.10638159347242424"/>
    <x v="2"/>
  </r>
  <r>
    <s v="FPH"/>
    <n v="-9.0591873328778657E-3"/>
    <n v="-0.20482276786786491"/>
    <n v="-0.31485521509363179"/>
    <x v="0"/>
  </r>
  <r>
    <s v="SOI"/>
    <n v="3.6847385631099933E-2"/>
    <n v="-8.4206951682369441E-3"/>
    <n v="-3.463064234228392E-2"/>
    <x v="1"/>
  </r>
  <r>
    <s v="ATUS"/>
    <n v="-0.10090062628828239"/>
    <n v="-0.22485374225451835"/>
    <n v="-0.29200141767340615"/>
    <x v="3"/>
  </r>
  <r>
    <s v="APRN"/>
    <n v="3.3962187144303324E-2"/>
    <n v="7.1390632052131886E-3"/>
    <n v="-6.0761008395865419E-3"/>
    <x v="2"/>
  </r>
  <r>
    <s v="MOG"/>
    <n v="4.6826344630112714E-3"/>
    <n v="4.1334784565446661E-2"/>
    <n v="7.4931746761679588E-2"/>
    <x v="4"/>
  </r>
  <r>
    <s v="BXMT"/>
    <n v="0.5402910696333284"/>
    <n v="0.31672641280940189"/>
    <n v="0.19192888447800177"/>
    <x v="0"/>
  </r>
  <r>
    <s v="HOV"/>
    <n v="-4.0364966336369684E-2"/>
    <n v="-1.1320927289554739E-2"/>
    <n v="5.6222570907451478E-3"/>
    <x v="2"/>
  </r>
  <r>
    <s v="WSO"/>
    <n v="0.13081857428827162"/>
    <n v="0.32471170589284715"/>
    <n v="0.42460205529772138"/>
    <x v="4"/>
  </r>
  <r>
    <s v="VOXX"/>
    <n v="-3.5925749164685522E-2"/>
    <n v="1.2914470357434968E-2"/>
    <n v="4.2261771845117271E-2"/>
    <x v="5"/>
  </r>
  <r>
    <s v="BHGE / BKR"/>
    <n v="-8.6339864623411963E-3"/>
    <n v="2.3904824653928288E-2"/>
    <n v="3.7777786219764346E-2"/>
    <x v="1"/>
  </r>
  <r>
    <s v="VIACA"/>
    <n v="1.9470822756696711E-2"/>
    <n v="-0.1741092951958147"/>
    <n v="-0.28300899607374552"/>
    <x v="3"/>
  </r>
  <r>
    <s v="CRD"/>
    <n v="6.2925792902447333E-2"/>
    <n v="6.2159453410987201E-3"/>
    <n v="-2.7617916516135693E-2"/>
    <x v="6"/>
  </r>
  <r>
    <s v="TCX"/>
    <n v="5.8370816309606811E-2"/>
    <n v="1.5594254692028876E-3"/>
    <n v="-3.1750137912073609E-2"/>
    <x v="5"/>
  </r>
  <r>
    <s v="ARTNA"/>
    <n v="0.45857920307969086"/>
    <n v="0.6583190808785474"/>
    <n v="0.76671739760262836"/>
    <x v="7"/>
  </r>
  <r>
    <s v="AMRC"/>
    <n v="-3.6587685808849475E-2"/>
    <n v="6.1871758131242023E-2"/>
    <n v="0.11950486631197914"/>
    <x v="4"/>
  </r>
  <r>
    <s v="MGY"/>
    <n v="-0.11464075508742642"/>
    <n v="0.15577069320511561"/>
    <n v="0.31132156534200423"/>
    <x v="1"/>
  </r>
  <r>
    <s v="QUAD"/>
    <n v="3.5514325492507624E-2"/>
    <n v="5.2226664747832214E-3"/>
    <n v="-1.2448590815250786E-2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EA7DB9-E7CE-4E7D-85B9-E2AA4C9C03B5}" name="PivotTable2" cacheId="0" applyNumberFormats="0" applyBorderFormats="0" applyFontFormats="0" applyPatternFormats="0" applyAlignmentFormats="0" applyWidthHeightFormats="1" dataCaption="Values" updatedVersion="8" minRefreshableVersion="3" showDrill="0" showDataTips="0" useAutoFormatting="1" itemPrintTitles="1" mergeItem="1" createdVersion="8" indent="0" showHeaders="0" outline="1" outlineData="1" multipleFieldFilters="0" chartFormat="5" fieldListSortAscending="1">
  <location ref="L23:O32" firstHeaderRow="0" firstDataRow="1" firstDataCol="1"/>
  <pivotFields count="5">
    <pivotField showAll="0"/>
    <pivotField dataField="1" showAll="0"/>
    <pivotField dataField="1" showAll="0"/>
    <pivotField dataField="1" showAll="0"/>
    <pivotField axis="axisRow" showAll="0">
      <items count="9">
        <item x="3"/>
        <item x="2"/>
        <item x="1"/>
        <item x="6"/>
        <item x="4"/>
        <item x="0"/>
        <item x="5"/>
        <item x="7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ow-Risk Port." fld="1" baseField="0" baseItem="0"/>
    <dataField name="Medium-Risk Port." fld="2" baseField="0" baseItem="0"/>
    <dataField name="High-Risk Port." fld="3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39997558519241921"/>
  </sheetPr>
  <dimension ref="A1:BL86"/>
  <sheetViews>
    <sheetView tabSelected="1" zoomScale="40" zoomScaleNormal="40" workbookViewId="0">
      <pane ySplit="2" topLeftCell="A3" activePane="bottomLeft" state="frozen"/>
      <selection pane="bottomLeft" activeCell="AF16" sqref="AF16"/>
    </sheetView>
  </sheetViews>
  <sheetFormatPr defaultColWidth="13" defaultRowHeight="14.25" x14ac:dyDescent="0.45"/>
  <cols>
    <col min="1" max="1" width="27" customWidth="1"/>
    <col min="2" max="21" width="11.796875" customWidth="1"/>
    <col min="44" max="44" width="23.06640625" bestFit="1" customWidth="1"/>
  </cols>
  <sheetData>
    <row r="1" spans="1:64" x14ac:dyDescent="0.45"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</row>
    <row r="2" spans="1:64" x14ac:dyDescent="0.45">
      <c r="A2" s="1" t="s">
        <v>0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AR2" s="6"/>
      <c r="AS2" s="9" t="s">
        <v>43</v>
      </c>
      <c r="AT2" s="9" t="s">
        <v>44</v>
      </c>
      <c r="AU2" s="9" t="s">
        <v>45</v>
      </c>
      <c r="AV2" s="9" t="s">
        <v>46</v>
      </c>
      <c r="AW2" s="9" t="s">
        <v>47</v>
      </c>
      <c r="AX2" s="9" t="s">
        <v>48</v>
      </c>
      <c r="AY2" s="9" t="s">
        <v>49</v>
      </c>
      <c r="AZ2" s="9" t="s">
        <v>50</v>
      </c>
      <c r="BA2" s="9" t="s">
        <v>51</v>
      </c>
      <c r="BB2" s="9" t="s">
        <v>52</v>
      </c>
      <c r="BC2" s="9" t="s">
        <v>53</v>
      </c>
      <c r="BD2" s="9" t="s">
        <v>54</v>
      </c>
      <c r="BE2" s="9" t="s">
        <v>55</v>
      </c>
      <c r="BF2" s="9" t="s">
        <v>56</v>
      </c>
      <c r="BG2" s="9" t="s">
        <v>57</v>
      </c>
      <c r="BH2" s="9" t="s">
        <v>58</v>
      </c>
      <c r="BI2" s="9" t="s">
        <v>59</v>
      </c>
      <c r="BJ2" s="9" t="s">
        <v>60</v>
      </c>
      <c r="BK2" s="9" t="s">
        <v>62</v>
      </c>
      <c r="BL2" s="2" t="s">
        <v>20</v>
      </c>
    </row>
    <row r="3" spans="1:64" x14ac:dyDescent="0.45">
      <c r="A3" s="4">
        <v>43131</v>
      </c>
      <c r="B3" s="15">
        <v>-1.75438596491229E-2</v>
      </c>
      <c r="C3" s="15">
        <v>-2.059732234809486E-3</v>
      </c>
      <c r="D3" s="15">
        <v>-1.5247776365946653E-2</v>
      </c>
      <c r="E3" s="15">
        <v>-2.1276595744680882E-2</v>
      </c>
      <c r="F3" s="15">
        <v>-0.11863615133115368</v>
      </c>
      <c r="G3" s="15">
        <v>1.1304757418747036E-2</v>
      </c>
      <c r="H3" s="15">
        <v>-0.25806451612903225</v>
      </c>
      <c r="I3" s="15">
        <v>3.6960276338514599E-2</v>
      </c>
      <c r="J3" s="15">
        <v>-3.6668738346799297E-2</v>
      </c>
      <c r="K3" s="15">
        <v>-0.39402985074626901</v>
      </c>
      <c r="L3" s="15">
        <v>6.4924816345270905E-2</v>
      </c>
      <c r="M3" s="15">
        <v>6.25E-2</v>
      </c>
      <c r="N3" s="15">
        <v>1.6118836915297099E-2</v>
      </c>
      <c r="O3" s="15">
        <v>-3.5965205754432961E-2</v>
      </c>
      <c r="P3" s="15">
        <v>4.7058823529411197E-3</v>
      </c>
      <c r="Q3" s="15">
        <v>-0.22626695217701601</v>
      </c>
      <c r="R3" s="15">
        <v>-3.5788381742738601E-2</v>
      </c>
      <c r="S3" s="15">
        <v>1.1627906976744207E-2</v>
      </c>
      <c r="T3" s="15">
        <v>3.0800821355236874E-3</v>
      </c>
      <c r="U3" s="15">
        <v>-2.1239999999999998E-2</v>
      </c>
      <c r="AR3" s="6" t="s">
        <v>24</v>
      </c>
      <c r="AS3" s="6">
        <f>AVERAGE(wttr_ret)</f>
        <v>6.4287166823963982E-3</v>
      </c>
      <c r="AT3" s="6">
        <f>AVERAGE(altm_ret)</f>
        <v>2.5101501203561208E-2</v>
      </c>
      <c r="AU3" s="6">
        <f>AVERAGE(appn_ret)</f>
        <v>2.1481230664745794E-2</v>
      </c>
      <c r="AV3" s="6">
        <f>AVERAGE(fph_ret)</f>
        <v>-2.1690230530560583E-2</v>
      </c>
      <c r="AW3" s="6">
        <f>AVERAGE(soi_ret)</f>
        <v>4.4517199083304367E-3</v>
      </c>
      <c r="AX3" s="6">
        <f>AVERAGE(atus_ret)</f>
        <v>-1.4041042732246498E-2</v>
      </c>
      <c r="AY3" s="6">
        <f>AVERAGE(aprn_ret)</f>
        <v>1.0517368382941017E-2</v>
      </c>
      <c r="AZ3" s="6">
        <f>AVERAGE(mog_ret)</f>
        <v>6.1856093359222977E-3</v>
      </c>
      <c r="BA3" s="6">
        <f>AVERAGE(bxmt_ret)</f>
        <v>5.0585887956674565E-3</v>
      </c>
      <c r="BB3" s="6">
        <f>AVERAGE(hov_ret)</f>
        <v>3.343544450409635E-2</v>
      </c>
      <c r="BC3" s="6">
        <f>AVERAGE(wso_ret)</f>
        <v>1.2078540785082253E-2</v>
      </c>
      <c r="BD3" s="6">
        <f>AVERAGE(voxx_ret)</f>
        <v>1.9502351386446092E-2</v>
      </c>
      <c r="BE3" s="6">
        <f>AVERAGE(bkr_ret)</f>
        <v>1.191655732383828E-2</v>
      </c>
      <c r="BF3" s="6">
        <f>AVERAGE(viaca_ret)</f>
        <v>-7.2014476881095135E-3</v>
      </c>
      <c r="BG3" s="6">
        <f>AVERAGE(crd_ret)</f>
        <v>1.2221727819645953E-4</v>
      </c>
      <c r="BH3" s="6">
        <f>AVERAGE(tcx_ret)</f>
        <v>-5.5399429389551783E-3</v>
      </c>
      <c r="BI3" s="6">
        <f>AVERAGE(artna_ret)</f>
        <v>1.0621118426670817E-2</v>
      </c>
      <c r="BJ3" s="6">
        <f>AVERAGE(amrc_ret)</f>
        <v>4.5463239663530421E-2</v>
      </c>
      <c r="BK3" s="6">
        <f>AVERAGE(mgy_ret)</f>
        <v>2.9842935107844585E-2</v>
      </c>
      <c r="BL3" s="6"/>
    </row>
    <row r="4" spans="1:64" x14ac:dyDescent="0.45">
      <c r="A4" s="4">
        <v>43159</v>
      </c>
      <c r="B4" s="15">
        <v>-0.198660714285714</v>
      </c>
      <c r="C4" s="15">
        <v>3.6119711042310598E-3</v>
      </c>
      <c r="D4" s="15">
        <v>-0.12774193548387092</v>
      </c>
      <c r="E4" s="15">
        <v>-2.1014492753623215E-2</v>
      </c>
      <c r="F4" s="15">
        <v>-0.10810810810810811</v>
      </c>
      <c r="G4" s="15">
        <v>-0.15230554261760598</v>
      </c>
      <c r="H4" s="15">
        <v>-6.6889632107023478E-2</v>
      </c>
      <c r="I4" s="15">
        <v>-6.9176104819009598E-2</v>
      </c>
      <c r="J4" s="15">
        <v>1.6129032258065401E-3</v>
      </c>
      <c r="K4" s="15">
        <v>7.3891625615763595E-2</v>
      </c>
      <c r="L4" s="15">
        <v>-8.0204683241559604E-2</v>
      </c>
      <c r="M4" s="15">
        <v>-9.2436974789915999E-2</v>
      </c>
      <c r="N4" s="15">
        <v>-0.17408884982081299</v>
      </c>
      <c r="O4" s="15">
        <v>-8.4504598299496747E-2</v>
      </c>
      <c r="P4" s="15">
        <v>-3.8998065370125297E-2</v>
      </c>
      <c r="Q4" s="15">
        <v>6.6420664206642097E-2</v>
      </c>
      <c r="R4" s="15">
        <v>-0.10380310561233599</v>
      </c>
      <c r="S4" s="15">
        <v>-6.3218390804597679E-2</v>
      </c>
      <c r="T4" s="15">
        <v>-3.0706243602866001E-3</v>
      </c>
      <c r="U4" s="15">
        <v>0.19303999999999999</v>
      </c>
      <c r="AR4" s="6" t="s">
        <v>25</v>
      </c>
      <c r="AS4">
        <f>AS3*12</f>
        <v>7.7144600188756782E-2</v>
      </c>
      <c r="AT4">
        <f t="shared" ref="AT4:BK4" si="0">AT3*12</f>
        <v>0.30121801444273449</v>
      </c>
      <c r="AU4">
        <f t="shared" si="0"/>
        <v>0.25777476797694954</v>
      </c>
      <c r="AV4">
        <f t="shared" si="0"/>
        <v>-0.26028276636672698</v>
      </c>
      <c r="AW4">
        <f t="shared" si="0"/>
        <v>5.3420638899965241E-2</v>
      </c>
      <c r="AX4">
        <f t="shared" si="0"/>
        <v>-0.16849251278695798</v>
      </c>
      <c r="AY4">
        <f t="shared" si="0"/>
        <v>0.12620842059529219</v>
      </c>
      <c r="AZ4">
        <f t="shared" si="0"/>
        <v>7.4227312031067569E-2</v>
      </c>
      <c r="BA4">
        <f t="shared" si="0"/>
        <v>6.0703065548009479E-2</v>
      </c>
      <c r="BB4">
        <f t="shared" si="0"/>
        <v>0.40122533404915617</v>
      </c>
      <c r="BC4">
        <f t="shared" si="0"/>
        <v>0.14494248942098703</v>
      </c>
      <c r="BD4">
        <f t="shared" si="0"/>
        <v>0.2340282166373531</v>
      </c>
      <c r="BE4">
        <f t="shared" si="0"/>
        <v>0.14299868788605935</v>
      </c>
      <c r="BF4" s="6">
        <f>BF3*12</f>
        <v>-8.6417372257314162E-2</v>
      </c>
      <c r="BG4">
        <f t="shared" si="0"/>
        <v>1.4666073383575143E-3</v>
      </c>
      <c r="BH4">
        <f t="shared" si="0"/>
        <v>-6.6479315267462147E-2</v>
      </c>
      <c r="BI4">
        <f t="shared" si="0"/>
        <v>0.12745342112004981</v>
      </c>
      <c r="BJ4">
        <f t="shared" si="0"/>
        <v>0.54555887596236508</v>
      </c>
      <c r="BK4">
        <f t="shared" si="0"/>
        <v>0.35811522129413503</v>
      </c>
      <c r="BL4" s="6"/>
    </row>
    <row r="5" spans="1:64" x14ac:dyDescent="0.45">
      <c r="A5" s="4">
        <v>43188</v>
      </c>
      <c r="B5" s="15">
        <v>-0.12116991643454</v>
      </c>
      <c r="C5" s="15">
        <v>6.6838046272492679E-3</v>
      </c>
      <c r="D5" s="15">
        <v>-6.8786982248520645E-2</v>
      </c>
      <c r="E5" s="15">
        <v>5.551443375277576E-2</v>
      </c>
      <c r="F5" s="15">
        <v>-1.6042780748663166E-2</v>
      </c>
      <c r="G5" s="15">
        <v>1.538461538461533E-2</v>
      </c>
      <c r="H5" s="15">
        <v>-0.28315412186379929</v>
      </c>
      <c r="I5" s="15">
        <v>-1.69390433019205E-2</v>
      </c>
      <c r="J5" s="15">
        <v>3.2037754909160797E-2</v>
      </c>
      <c r="K5" s="15">
        <v>-0.16055045871559601</v>
      </c>
      <c r="L5" s="15">
        <v>9.4333917881115101E-2</v>
      </c>
      <c r="M5" s="15">
        <v>-8.3333333333333398E-2</v>
      </c>
      <c r="N5" s="15">
        <v>5.1893939393939499E-2</v>
      </c>
      <c r="O5" s="15">
        <v>-2.1685051998958427E-2</v>
      </c>
      <c r="P5" s="15">
        <v>-1.47420147420148E-2</v>
      </c>
      <c r="Q5" s="15">
        <v>-3.1141868512110801E-2</v>
      </c>
      <c r="R5" s="15">
        <v>0.10244786944696301</v>
      </c>
      <c r="S5" s="15">
        <v>0.5950920245398772</v>
      </c>
      <c r="T5" s="15">
        <v>3.7987679671457997E-2</v>
      </c>
      <c r="U5" s="15">
        <v>-2.8639999999999999E-2</v>
      </c>
      <c r="AR5" s="6" t="s">
        <v>23</v>
      </c>
      <c r="AS5" s="6">
        <f>SQRT(_xlfn.VAR.S(wttr_ret))</f>
        <v>0.18717667601339422</v>
      </c>
      <c r="AT5" s="6">
        <f>SQRT(_xlfn.VAR.S(altm_ret))</f>
        <v>0.42538483695384965</v>
      </c>
      <c r="AU5" s="6">
        <f>SQRT(_xlfn.VAR.S(appn_ret))</f>
        <v>0.23406855261526216</v>
      </c>
      <c r="AV5" s="6">
        <f>SQRT(_xlfn.VAR.S(fph_ret))</f>
        <v>0.12412587385263583</v>
      </c>
      <c r="AW5" s="6">
        <f>SQRT(_xlfn.VAR.S(soi_ret))</f>
        <v>0.16708162826030903</v>
      </c>
      <c r="AX5" s="6">
        <f>SQRT(_xlfn.VAR.S(atus_ret))</f>
        <v>0.13172767016477693</v>
      </c>
      <c r="AY5" s="6">
        <f>SQRT(_xlfn.VAR.S(aprn_ret))</f>
        <v>0.53031737756071273</v>
      </c>
      <c r="AZ5" s="6">
        <f>SQRT(_xlfn.VAR.S(mog_ret))</f>
        <v>9.9750731501117323E-2</v>
      </c>
      <c r="BA5" s="6">
        <f>SQRT(_xlfn.VAR.S(bxmt_ret))</f>
        <v>9.1583488593780737E-2</v>
      </c>
      <c r="BB5" s="6">
        <f>SQRT(_xlfn.VAR.S(hov_ret))</f>
        <v>0.31724890138039707</v>
      </c>
      <c r="BC5" s="6">
        <f>SQRT(_xlfn.VAR.S(wso_ret))</f>
        <v>7.775779205845304E-2</v>
      </c>
      <c r="BD5" s="6">
        <f>SQRT(_xlfn.VAR.S(voxx_ret))</f>
        <v>0.17123296536888546</v>
      </c>
      <c r="BE5" s="6">
        <f>SQRT(_xlfn.VAR.S(voxx_ret))</f>
        <v>0.17123296536888546</v>
      </c>
      <c r="BF5" s="6">
        <f>SQRT(_xlfn.VAR.S(viaca_ret))</f>
        <v>0.13363386679934136</v>
      </c>
      <c r="BG5" s="6">
        <f>SQRT(_xlfn.VAR.S(crd_ret))</f>
        <v>0.1004237695620727</v>
      </c>
      <c r="BH5" s="6">
        <f>SQRT(_xlfn.VAR.S(tcx_ret))</f>
        <v>0.10970524982064797</v>
      </c>
      <c r="BI5" s="6">
        <f>SQRT(_xlfn.VAR.S(artna_ret))</f>
        <v>5.4388056955234479E-2</v>
      </c>
      <c r="BJ5" s="6">
        <f>SQRT(_xlfn.VAR.S(amrc_ret))</f>
        <v>0.16640001437643182</v>
      </c>
      <c r="BK5" s="6">
        <f>SQRT(_xlfn.VAR.S(mgy_ret))</f>
        <v>0.17450059616953006</v>
      </c>
      <c r="BL5" s="6"/>
    </row>
    <row r="6" spans="1:64" x14ac:dyDescent="0.45">
      <c r="A6" s="4">
        <v>43220</v>
      </c>
      <c r="B6" s="15">
        <v>0.19255150554675099</v>
      </c>
      <c r="C6" s="15">
        <v>-1.0214504596527396E-3</v>
      </c>
      <c r="D6" s="15">
        <v>7.6648133439237487E-2</v>
      </c>
      <c r="E6" s="15">
        <v>-6.7321178120617109E-2</v>
      </c>
      <c r="F6" s="15">
        <v>0.13526570048309172</v>
      </c>
      <c r="G6" s="15">
        <v>-3.1385281385281405E-2</v>
      </c>
      <c r="H6" s="15">
        <v>4.4999999999999929E-2</v>
      </c>
      <c r="I6" s="15">
        <v>-5.3391578691905899E-3</v>
      </c>
      <c r="J6" s="15">
        <v>-1.8141311266709099E-2</v>
      </c>
      <c r="K6" s="15">
        <v>9.8360655737704999E-2</v>
      </c>
      <c r="L6" s="15">
        <v>-6.7560443718899105E-2</v>
      </c>
      <c r="M6" s="15">
        <v>1.0101010101010201E-2</v>
      </c>
      <c r="N6" s="15">
        <v>0.300324090745409</v>
      </c>
      <c r="O6" s="15">
        <v>-3.7908242612752718E-2</v>
      </c>
      <c r="P6" s="15">
        <v>-3.7406483790523699E-2</v>
      </c>
      <c r="Q6" s="15">
        <v>0.129464285714286</v>
      </c>
      <c r="R6" s="15">
        <v>4.9890350877193103E-2</v>
      </c>
      <c r="S6" s="15">
        <v>-8.846153846153848E-2</v>
      </c>
      <c r="T6" s="15">
        <v>2.0771513353115667E-2</v>
      </c>
      <c r="U6" s="15">
        <v>-2.5250000000000002E-2</v>
      </c>
      <c r="AR6" s="6" t="s">
        <v>26</v>
      </c>
      <c r="AS6" s="6">
        <f>SQRT(12)*AS5</f>
        <v>0.64839902569411512</v>
      </c>
      <c r="AT6" s="6">
        <f t="shared" ref="AT6:BK6" si="1">SQRT(12)*AT5</f>
        <v>1.4735763007469409</v>
      </c>
      <c r="AU6" s="6">
        <f t="shared" si="1"/>
        <v>0.81083725116748606</v>
      </c>
      <c r="AV6" s="6">
        <f t="shared" si="1"/>
        <v>0.42998464009330095</v>
      </c>
      <c r="AW6" s="6">
        <f t="shared" si="1"/>
        <v>0.57878773831638242</v>
      </c>
      <c r="AX6" s="6">
        <f t="shared" si="1"/>
        <v>0.45631803497613715</v>
      </c>
      <c r="AY6" s="6">
        <f t="shared" si="1"/>
        <v>1.8370732841436832</v>
      </c>
      <c r="AZ6" s="6">
        <f t="shared" si="1"/>
        <v>0.34554667010419299</v>
      </c>
      <c r="BA6" s="6">
        <f t="shared" si="1"/>
        <v>0.31725451075766598</v>
      </c>
      <c r="BB6" s="6">
        <f t="shared" si="1"/>
        <v>1.0989824316725116</v>
      </c>
      <c r="BC6" s="6">
        <f t="shared" si="1"/>
        <v>0.26936089305923283</v>
      </c>
      <c r="BD6" s="6">
        <f t="shared" si="1"/>
        <v>0.59316839189918336</v>
      </c>
      <c r="BE6" s="6">
        <f t="shared" si="1"/>
        <v>0.59316839189918336</v>
      </c>
      <c r="BF6" s="6">
        <f>SQRT(12)*BF5</f>
        <v>0.46292129381670194</v>
      </c>
      <c r="BG6" s="6">
        <f t="shared" si="1"/>
        <v>0.34787814233819769</v>
      </c>
      <c r="BH6" s="6">
        <f t="shared" si="1"/>
        <v>0.38003013309279748</v>
      </c>
      <c r="BI6" s="6">
        <f t="shared" si="1"/>
        <v>0.18840575594283193</v>
      </c>
      <c r="BJ6" s="6">
        <f t="shared" si="1"/>
        <v>0.57642655856034297</v>
      </c>
      <c r="BK6" s="6">
        <f t="shared" si="1"/>
        <v>0.60448779703337008</v>
      </c>
      <c r="BL6" s="6"/>
    </row>
    <row r="7" spans="1:64" x14ac:dyDescent="0.45">
      <c r="A7" s="4">
        <v>43251</v>
      </c>
      <c r="B7" s="15">
        <v>-5.1827242524916897E-2</v>
      </c>
      <c r="C7" s="15">
        <v>5.1124744376278564E-3</v>
      </c>
      <c r="D7" s="15">
        <v>0.1763187015861305</v>
      </c>
      <c r="E7" s="15">
        <v>-0.16090225563909777</v>
      </c>
      <c r="F7" s="15">
        <v>-0.17872340425531918</v>
      </c>
      <c r="G7" s="15">
        <v>9.2737430167597834E-2</v>
      </c>
      <c r="H7" s="15">
        <v>0.46889952153110048</v>
      </c>
      <c r="I7" s="15">
        <v>-2.43068017284387E-3</v>
      </c>
      <c r="J7" s="15">
        <v>2.3987034035656499E-2</v>
      </c>
      <c r="K7" s="15">
        <v>-0.114427860696517</v>
      </c>
      <c r="L7" s="15">
        <v>9.9151833711623505E-2</v>
      </c>
      <c r="M7" s="15">
        <v>0.12</v>
      </c>
      <c r="N7" s="15">
        <v>-3.7342344916969701E-2</v>
      </c>
      <c r="O7" s="15">
        <v>2.2630834512022524E-2</v>
      </c>
      <c r="P7" s="15">
        <v>4.92002703311556E-2</v>
      </c>
      <c r="Q7" s="15">
        <v>-9.4861660079051894E-3</v>
      </c>
      <c r="R7" s="15">
        <v>2.44995648389905E-2</v>
      </c>
      <c r="S7" s="15">
        <v>8.4388185654007408E-3</v>
      </c>
      <c r="T7" s="15">
        <v>1.744186046511631E-2</v>
      </c>
      <c r="U7" s="15">
        <v>-0.18756999999999999</v>
      </c>
    </row>
    <row r="8" spans="1:64" x14ac:dyDescent="0.45">
      <c r="A8" s="4">
        <v>43280</v>
      </c>
      <c r="B8" s="15">
        <v>1.8220042046250801E-2</v>
      </c>
      <c r="C8" s="15">
        <v>6.1037639877925542E-3</v>
      </c>
      <c r="D8" s="15">
        <v>0.13389777359673882</v>
      </c>
      <c r="E8" s="15">
        <v>8.0645161290322509E-3</v>
      </c>
      <c r="F8" s="15">
        <v>-7.4481865284974136E-2</v>
      </c>
      <c r="G8" s="15">
        <v>-2.7193784807719945E-2</v>
      </c>
      <c r="H8" s="15">
        <v>9.1205211726384405E-2</v>
      </c>
      <c r="I8" s="15">
        <v>-4.3787562860296801E-2</v>
      </c>
      <c r="J8" s="15">
        <v>1.4431305975062E-2</v>
      </c>
      <c r="K8" s="15">
        <v>-8.4269662921348298E-2</v>
      </c>
      <c r="L8" s="15">
        <v>-3.1192261710683601E-2</v>
      </c>
      <c r="M8" s="15">
        <v>-3.5714285714285698E-2</v>
      </c>
      <c r="N8" s="15">
        <v>-4.50997398091934E-2</v>
      </c>
      <c r="O8" s="15">
        <v>0.12008606713655867</v>
      </c>
      <c r="P8" s="15">
        <v>7.2229140722291502E-2</v>
      </c>
      <c r="Q8" s="15">
        <v>-3.1923383878691099E-2</v>
      </c>
      <c r="R8" s="15">
        <v>-5.8974358974358499E-3</v>
      </c>
      <c r="S8" s="15">
        <v>4.1841004184099972E-3</v>
      </c>
      <c r="T8" s="15">
        <v>3.5238095238095291E-2</v>
      </c>
      <c r="U8" s="15">
        <v>5.3620000000000001E-2</v>
      </c>
    </row>
    <row r="9" spans="1:64" x14ac:dyDescent="0.45">
      <c r="A9" s="4">
        <v>43312</v>
      </c>
      <c r="B9" s="15">
        <v>5.1617343427391701E-2</v>
      </c>
      <c r="C9" s="15">
        <v>6.0667340748230547E-3</v>
      </c>
      <c r="D9" s="15">
        <v>-0.14048672566371678</v>
      </c>
      <c r="E9" s="15">
        <v>-5.3333333333333011E-3</v>
      </c>
      <c r="F9" s="15">
        <v>9.7970608817354865E-2</v>
      </c>
      <c r="G9" s="15">
        <v>4.1031652989449441E-3</v>
      </c>
      <c r="H9" s="15">
        <v>-0.29253731343283584</v>
      </c>
      <c r="I9" s="15">
        <v>-3.7839917906618802E-2</v>
      </c>
      <c r="J9" s="15">
        <v>5.4406617881005398E-2</v>
      </c>
      <c r="K9" s="15">
        <v>-3.6809815950920297E-2</v>
      </c>
      <c r="L9" s="15">
        <v>-2.46010355655631E-2</v>
      </c>
      <c r="M9" s="15">
        <v>-2.7777777777777801E-2</v>
      </c>
      <c r="N9" s="15">
        <v>4.6927036027853503E-2</v>
      </c>
      <c r="O9" s="15">
        <v>-3.5227473889183902E-2</v>
      </c>
      <c r="P9" s="15">
        <v>-1.50987224157956E-2</v>
      </c>
      <c r="Q9" s="15">
        <v>-3.1327287716405597E-2</v>
      </c>
      <c r="R9" s="15">
        <v>-4.8491101367036403E-2</v>
      </c>
      <c r="S9" s="15">
        <v>0.1166666666666667</v>
      </c>
      <c r="T9" s="15">
        <v>0.13155473781048754</v>
      </c>
      <c r="U9" s="15">
        <v>-1.2959999999999999E-2</v>
      </c>
    </row>
    <row r="10" spans="1:64" x14ac:dyDescent="0.45">
      <c r="A10" s="4">
        <v>43343</v>
      </c>
      <c r="B10" s="15">
        <v>-0.10667539267015699</v>
      </c>
      <c r="C10" s="15">
        <v>3.2160804020100464E-2</v>
      </c>
      <c r="D10" s="15">
        <v>0.12387387387387383</v>
      </c>
      <c r="E10" s="15">
        <v>-2.2341376228775744E-2</v>
      </c>
      <c r="F10" s="15">
        <v>9.7514340344168282E-2</v>
      </c>
      <c r="G10" s="15">
        <v>4.6117921774664339E-2</v>
      </c>
      <c r="H10" s="15">
        <v>-0.14767932489451474</v>
      </c>
      <c r="I10" s="15">
        <v>5.54184162090883E-2</v>
      </c>
      <c r="J10" s="15">
        <v>2.7761013880506901E-2</v>
      </c>
      <c r="K10" s="15">
        <v>-6.3694267515923596E-3</v>
      </c>
      <c r="L10" s="15">
        <v>1.43759782041621E-2</v>
      </c>
      <c r="M10" s="15">
        <v>2.8571428571428501E-2</v>
      </c>
      <c r="N10" s="15">
        <v>-4.15288265754113E-2</v>
      </c>
      <c r="O10" s="15">
        <v>-1.4862385321100957E-2</v>
      </c>
      <c r="P10" s="15">
        <v>1.41412774512837E-2</v>
      </c>
      <c r="Q10" s="15">
        <v>-3.4042553191489001E-3</v>
      </c>
      <c r="R10" s="15">
        <v>-1.96642251521911E-2</v>
      </c>
      <c r="S10" s="15">
        <v>7.0895522388059629E-2</v>
      </c>
      <c r="T10" s="15">
        <v>0.12682926829268282</v>
      </c>
      <c r="U10" s="15">
        <v>0.12217</v>
      </c>
    </row>
    <row r="11" spans="1:64" x14ac:dyDescent="0.45">
      <c r="A11" s="4">
        <v>43371</v>
      </c>
      <c r="B11" s="15">
        <v>-0.13260073260073299</v>
      </c>
      <c r="C11" s="15">
        <v>-1.071080817916259E-2</v>
      </c>
      <c r="D11" s="15">
        <v>-5.2390495276266824E-2</v>
      </c>
      <c r="E11" s="15">
        <v>-0.13985374771480807</v>
      </c>
      <c r="F11" s="15">
        <v>9.6980255516840863E-2</v>
      </c>
      <c r="G11" s="15">
        <v>1.2276785714285809E-2</v>
      </c>
      <c r="H11" s="15">
        <v>-0.14851485148514854</v>
      </c>
      <c r="I11" s="15">
        <v>8.9469015333924803E-2</v>
      </c>
      <c r="J11" s="15">
        <v>2.1260898277350999E-3</v>
      </c>
      <c r="K11" s="15">
        <v>2.5641025641025501E-2</v>
      </c>
      <c r="L11" s="15">
        <v>1.7772444139665201E-2</v>
      </c>
      <c r="M11" s="15">
        <v>-3.7037037037037097E-2</v>
      </c>
      <c r="N11" s="15">
        <v>2.60843190779496E-2</v>
      </c>
      <c r="O11" s="15">
        <v>8.4655143532727628E-2</v>
      </c>
      <c r="P11" s="15">
        <v>5.5099648300117203E-2</v>
      </c>
      <c r="Q11" s="15">
        <v>-4.7822374039282703E-2</v>
      </c>
      <c r="R11" s="15">
        <v>2.3657111049262498E-2</v>
      </c>
      <c r="S11" s="15">
        <v>-4.8780487804878092E-2</v>
      </c>
      <c r="T11" s="15">
        <v>8.297258297258292E-2</v>
      </c>
      <c r="U11" s="15">
        <v>-8.4760000000000002E-2</v>
      </c>
    </row>
    <row r="12" spans="1:64" x14ac:dyDescent="0.45">
      <c r="A12" s="4">
        <v>43404</v>
      </c>
      <c r="B12" s="15">
        <v>-0.19256756756756799</v>
      </c>
      <c r="C12" s="15">
        <v>-8.8582677165354173E-3</v>
      </c>
      <c r="D12" s="15">
        <v>-0.22326283987915407</v>
      </c>
      <c r="E12" s="15">
        <v>-0.19234856535600431</v>
      </c>
      <c r="F12" s="15">
        <v>-0.30121757543673899</v>
      </c>
      <c r="G12" s="15">
        <v>-0.10088202866593166</v>
      </c>
      <c r="H12" s="15">
        <v>-0.17441860465116277</v>
      </c>
      <c r="I12" s="15">
        <v>-0.167732930091892</v>
      </c>
      <c r="J12" s="15">
        <v>6.8636227991645303E-3</v>
      </c>
      <c r="K12" s="15">
        <v>-8.7499999999999994E-2</v>
      </c>
      <c r="L12" s="15">
        <v>-0.16059923254101</v>
      </c>
      <c r="M12" s="15">
        <v>-1.9230769230769301E-2</v>
      </c>
      <c r="N12" s="15">
        <v>-0.21105527638190999</v>
      </c>
      <c r="O12" s="15">
        <v>-8.0964685615848575E-3</v>
      </c>
      <c r="P12" s="15">
        <v>4.4444444444444696E-3</v>
      </c>
      <c r="Q12" s="15">
        <v>-9.9910313901345305E-2</v>
      </c>
      <c r="R12" s="15">
        <v>-5.1658510059815503E-3</v>
      </c>
      <c r="S12" s="15">
        <v>0.19926739926739923</v>
      </c>
      <c r="T12" s="15">
        <v>-0.17055296469020653</v>
      </c>
      <c r="U12" s="15">
        <v>-0.2596</v>
      </c>
    </row>
    <row r="13" spans="1:64" x14ac:dyDescent="0.45">
      <c r="A13" s="4">
        <v>43434</v>
      </c>
      <c r="B13" s="15">
        <v>1.25523012552302E-2</v>
      </c>
      <c r="C13" s="15">
        <v>-0.2413108242303873</v>
      </c>
      <c r="D13" s="15">
        <v>0.16919486581096854</v>
      </c>
      <c r="E13" s="15">
        <v>9.2105263157895578E-3</v>
      </c>
      <c r="F13" s="15">
        <v>-5.3030303030303649E-3</v>
      </c>
      <c r="G13" s="15">
        <v>8.4610668301655423E-2</v>
      </c>
      <c r="H13" s="15">
        <v>-0.176056338028169</v>
      </c>
      <c r="I13" s="15">
        <v>0.22601182355616201</v>
      </c>
      <c r="J13" s="15">
        <v>4.0308239478363997E-2</v>
      </c>
      <c r="K13" s="15">
        <v>-0.13013698630136999</v>
      </c>
      <c r="L13" s="15">
        <v>3.7251990821973301E-2</v>
      </c>
      <c r="M13" s="15">
        <v>-1.5686274509803901E-2</v>
      </c>
      <c r="N13" s="15">
        <v>-0.13838728741217399</v>
      </c>
      <c r="O13" s="15">
        <v>-6.0784994789857549E-2</v>
      </c>
      <c r="P13" s="15">
        <v>6.7414558564999902E-3</v>
      </c>
      <c r="Q13" s="15">
        <v>0.156636110003986</v>
      </c>
      <c r="R13" s="15">
        <v>2.7838618449660402E-4</v>
      </c>
      <c r="S13" s="15">
        <v>-3.9706780696395882E-2</v>
      </c>
      <c r="T13" s="15">
        <v>-2.168674698795181E-2</v>
      </c>
      <c r="U13" s="15">
        <v>8.072E-2</v>
      </c>
    </row>
    <row r="14" spans="1:64" x14ac:dyDescent="0.45">
      <c r="A14" s="4">
        <v>43465</v>
      </c>
      <c r="B14" s="15">
        <v>-0.34710743801652899</v>
      </c>
      <c r="C14" s="15">
        <v>1.1780104712041828E-2</v>
      </c>
      <c r="D14" s="15">
        <v>-0.11144377910844971</v>
      </c>
      <c r="E14" s="15">
        <v>-9.5176010430247704E-2</v>
      </c>
      <c r="F14" s="15">
        <v>-7.1534653465346487E-2</v>
      </c>
      <c r="G14" s="15">
        <v>-6.6139061616732664E-2</v>
      </c>
      <c r="H14" s="15">
        <v>-0.12820512820512819</v>
      </c>
      <c r="I14" s="15">
        <v>-0.114008004574042</v>
      </c>
      <c r="J14" s="15">
        <v>-7.4737625783520306E-2</v>
      </c>
      <c r="K14" s="15">
        <v>-0.46149606299212598</v>
      </c>
      <c r="L14" s="15">
        <v>-9.4729993493819206E-2</v>
      </c>
      <c r="M14" s="15">
        <v>-0.21115537848605601</v>
      </c>
      <c r="N14" s="15">
        <v>-5.7843996494303301E-2</v>
      </c>
      <c r="O14" s="15">
        <v>-0.18625392314181721</v>
      </c>
      <c r="P14" s="15">
        <v>-1.43964562569213E-2</v>
      </c>
      <c r="Q14" s="15">
        <v>3.4803583735354901E-2</v>
      </c>
      <c r="R14" s="15">
        <v>-4.0979097909790901E-2</v>
      </c>
      <c r="S14" s="15">
        <v>-0.10305343511450382</v>
      </c>
      <c r="T14" s="15">
        <v>-7.9638752052545114E-2</v>
      </c>
      <c r="U14" s="15">
        <v>-0.24786</v>
      </c>
    </row>
    <row r="15" spans="1:64" x14ac:dyDescent="0.45">
      <c r="A15" s="4">
        <v>43496</v>
      </c>
      <c r="B15" s="15">
        <v>0.34493670886076</v>
      </c>
      <c r="C15" s="15">
        <v>4.7865459249676556E-2</v>
      </c>
      <c r="D15" s="15">
        <v>0.20516660426806443</v>
      </c>
      <c r="E15" s="15">
        <v>0.10518731988472618</v>
      </c>
      <c r="F15" s="15">
        <v>0.24400330851943752</v>
      </c>
      <c r="G15" s="15">
        <v>0.18886198547215494</v>
      </c>
      <c r="H15" s="15">
        <v>0.37254901960784315</v>
      </c>
      <c r="I15" s="15">
        <v>0.15474961280330399</v>
      </c>
      <c r="J15" s="15">
        <v>8.2548650345260599E-2</v>
      </c>
      <c r="K15" s="15">
        <v>3.24608860944582E-2</v>
      </c>
      <c r="L15" s="15">
        <v>7.1877566688443306E-2</v>
      </c>
      <c r="M15" s="15">
        <v>0.31565656565656602</v>
      </c>
      <c r="N15" s="15">
        <v>9.6279069767441799E-2</v>
      </c>
      <c r="O15" s="15">
        <v>0.12725199543899657</v>
      </c>
      <c r="P15" s="15">
        <v>7.5280898876404406E-2</v>
      </c>
      <c r="Q15" s="15">
        <v>0.22577422577422601</v>
      </c>
      <c r="R15" s="15">
        <v>1.4912532262689999E-2</v>
      </c>
      <c r="S15" s="15">
        <v>5.8865248226950273E-2</v>
      </c>
      <c r="T15" s="15">
        <v>7.4041034790365723E-2</v>
      </c>
      <c r="U15" s="15">
        <v>9.6589999999999995E-2</v>
      </c>
    </row>
    <row r="16" spans="1:64" x14ac:dyDescent="0.45">
      <c r="A16" s="4">
        <v>43524</v>
      </c>
      <c r="B16" s="15">
        <v>0.185882352941176</v>
      </c>
      <c r="C16" s="15">
        <v>-0.24444444444444446</v>
      </c>
      <c r="D16" s="15">
        <v>0.1335818577197887</v>
      </c>
      <c r="E16" s="15">
        <v>2.0860495436766602E-2</v>
      </c>
      <c r="F16" s="15">
        <v>0.13031914893617014</v>
      </c>
      <c r="G16" s="15">
        <v>0.11048879837067216</v>
      </c>
      <c r="H16" s="15">
        <v>-0.23571428571428577</v>
      </c>
      <c r="I16" s="15">
        <v>5.3005069388951401E-2</v>
      </c>
      <c r="J16" s="15">
        <v>-2.8993911278629697E-4</v>
      </c>
      <c r="K16" s="15">
        <v>-4.1070669876788E-2</v>
      </c>
      <c r="L16" s="15">
        <v>-2.4342283699484699E-2</v>
      </c>
      <c r="M16" s="15">
        <v>-4.0307101727447198E-2</v>
      </c>
      <c r="N16" s="15">
        <v>0.12749283666373701</v>
      </c>
      <c r="O16" s="15">
        <v>1.7802953671859134E-2</v>
      </c>
      <c r="P16" s="15">
        <v>5.6470307385931798E-2</v>
      </c>
      <c r="Q16" s="15">
        <v>5.3110567780494403E-2</v>
      </c>
      <c r="R16" s="15">
        <v>0.116184799832701</v>
      </c>
      <c r="S16" s="15">
        <v>9.6450100468854716E-2</v>
      </c>
      <c r="T16" s="15">
        <v>2.1594684385382035E-2</v>
      </c>
      <c r="U16" s="15">
        <v>0.10052</v>
      </c>
    </row>
    <row r="17" spans="1:21" x14ac:dyDescent="0.45">
      <c r="A17" s="4">
        <v>43553</v>
      </c>
      <c r="B17" s="15">
        <v>0.192460317460317</v>
      </c>
      <c r="C17" s="15">
        <v>-3.5947712418300637E-2</v>
      </c>
      <c r="D17" s="15">
        <v>-5.6453822965195966E-2</v>
      </c>
      <c r="E17" s="15">
        <v>-7.9182630906768803E-2</v>
      </c>
      <c r="F17" s="15">
        <v>-2.7245894824360795E-2</v>
      </c>
      <c r="G17" s="15">
        <v>-1.5130674002751032E-2</v>
      </c>
      <c r="H17" s="15">
        <v>-8.411214953271029E-2</v>
      </c>
      <c r="I17" s="15">
        <v>-7.4606215410813095E-2</v>
      </c>
      <c r="J17" s="15">
        <v>2.0411554321725599E-2</v>
      </c>
      <c r="K17" s="15">
        <v>-0.351942106040467</v>
      </c>
      <c r="L17" s="15">
        <v>-4.7258322329557503E-3</v>
      </c>
      <c r="M17" s="15">
        <v>-7.5999999999999998E-2</v>
      </c>
      <c r="N17" s="15">
        <v>5.0796057619408599E-2</v>
      </c>
      <c r="O17" s="15">
        <v>-5.0190938629476878E-2</v>
      </c>
      <c r="P17" s="15">
        <v>-7.9681274900398405E-2</v>
      </c>
      <c r="Q17" s="15">
        <v>4.7078550238617303E-2</v>
      </c>
      <c r="R17" s="15">
        <v>-5.0203873598369003E-2</v>
      </c>
      <c r="S17" s="15">
        <v>-1.1606597434331123E-2</v>
      </c>
      <c r="T17" s="15">
        <v>-2.4390243902439046E-2</v>
      </c>
      <c r="U17" s="15">
        <v>-0.18437000000000001</v>
      </c>
    </row>
    <row r="18" spans="1:21" x14ac:dyDescent="0.45">
      <c r="A18" s="4">
        <v>43585</v>
      </c>
      <c r="B18" s="15">
        <v>-4.15973377703827E-2</v>
      </c>
      <c r="C18" s="15">
        <v>-0.14406779661016944</v>
      </c>
      <c r="D18" s="15">
        <v>4.821376706360736E-2</v>
      </c>
      <c r="E18" s="15">
        <v>0.18030513176144236</v>
      </c>
      <c r="F18" s="15">
        <v>3.345498783454981E-2</v>
      </c>
      <c r="G18" s="15">
        <v>9.6834264432029693E-2</v>
      </c>
      <c r="H18" s="15">
        <v>5.1020408163265252E-2</v>
      </c>
      <c r="I18" s="15">
        <v>7.6940770557791804E-2</v>
      </c>
      <c r="J18" s="15">
        <v>2.98032407407407E-2</v>
      </c>
      <c r="K18" s="15">
        <v>0.38742023701002698</v>
      </c>
      <c r="L18" s="15">
        <v>0.118788175245141</v>
      </c>
      <c r="M18" s="15">
        <v>-5.62770562770563E-2</v>
      </c>
      <c r="N18" s="15">
        <v>-0.133477633477634</v>
      </c>
      <c r="O18" s="15">
        <v>7.9185045158580047E-2</v>
      </c>
      <c r="P18" s="15">
        <v>-2.5974025974026E-2</v>
      </c>
      <c r="Q18" s="15">
        <v>8.6351318058635093E-2</v>
      </c>
      <c r="R18" s="15">
        <v>-2.6562919237993001E-2</v>
      </c>
      <c r="S18" s="15">
        <v>-6.9221260815822028E-2</v>
      </c>
      <c r="T18" s="15">
        <v>9.8333333333333384E-2</v>
      </c>
      <c r="U18" s="15">
        <v>2.605E-2</v>
      </c>
    </row>
    <row r="19" spans="1:21" x14ac:dyDescent="0.45">
      <c r="A19" s="4">
        <v>43616</v>
      </c>
      <c r="B19" s="15">
        <v>-7.1180555555555594E-2</v>
      </c>
      <c r="C19" s="15">
        <v>-9.3069306930693041E-2</v>
      </c>
      <c r="D19" s="15">
        <v>1.1083402604599168E-3</v>
      </c>
      <c r="E19" s="15">
        <v>-8.8131609870740313E-2</v>
      </c>
      <c r="F19" s="15">
        <v>-0.16244849911712778</v>
      </c>
      <c r="G19" s="15">
        <v>-2.9711375212223556E-3</v>
      </c>
      <c r="H19" s="15">
        <v>-0.32572815533980581</v>
      </c>
      <c r="I19" s="15">
        <v>-0.117293952074894</v>
      </c>
      <c r="J19" s="15">
        <v>-9.2722674908681801E-3</v>
      </c>
      <c r="K19" s="15">
        <v>-0.37582128777923801</v>
      </c>
      <c r="L19" s="15">
        <v>-6.8151700637344402E-3</v>
      </c>
      <c r="M19" s="15">
        <v>-0.18119266055045899</v>
      </c>
      <c r="N19" s="15">
        <v>-0.101770601212887</v>
      </c>
      <c r="O19" s="15">
        <v>-5.6636823666796454E-2</v>
      </c>
      <c r="P19" s="15">
        <v>-8.4010416666666601E-2</v>
      </c>
      <c r="Q19" s="15">
        <v>-0.32815511962807598</v>
      </c>
      <c r="R19" s="15">
        <v>-1.18184711199395E-2</v>
      </c>
      <c r="S19" s="15">
        <v>-3.7184594953519223E-2</v>
      </c>
      <c r="T19" s="15">
        <v>-0.16312594840667682</v>
      </c>
      <c r="U19" s="15">
        <v>-0.29388999999999998</v>
      </c>
    </row>
    <row r="20" spans="1:21" x14ac:dyDescent="0.45">
      <c r="A20" s="4">
        <v>43644</v>
      </c>
      <c r="B20" s="15">
        <v>8.5046728971962499E-2</v>
      </c>
      <c r="C20" s="15">
        <v>-0.18777292576419213</v>
      </c>
      <c r="D20" s="15">
        <v>-1.6606698034874467E-3</v>
      </c>
      <c r="E20" s="15">
        <v>-3.0927835051546393E-2</v>
      </c>
      <c r="F20" s="15">
        <v>5.9654103147489757E-2</v>
      </c>
      <c r="G20" s="15">
        <v>3.661132396764577E-2</v>
      </c>
      <c r="H20" s="15">
        <v>-0.35109256155507562</v>
      </c>
      <c r="I20" s="15">
        <v>0.13576801747148701</v>
      </c>
      <c r="J20" s="15">
        <v>2.6768504426073501E-2</v>
      </c>
      <c r="K20" s="15">
        <v>-0.2</v>
      </c>
      <c r="L20" s="15">
        <v>3.9011373022428401E-2</v>
      </c>
      <c r="M20" s="15">
        <v>0.165266106442577</v>
      </c>
      <c r="N20" s="15">
        <v>0.150397010742644</v>
      </c>
      <c r="O20" s="15">
        <v>3.6230641088378812E-2</v>
      </c>
      <c r="P20" s="15">
        <v>0.287286063569682</v>
      </c>
      <c r="Q20" s="15">
        <v>2.9873417721519E-2</v>
      </c>
      <c r="R20" s="15">
        <v>4.3807919123841597E-2</v>
      </c>
      <c r="S20" s="15">
        <v>1.586206896551734E-2</v>
      </c>
      <c r="T20" s="15">
        <v>4.9864007252946596E-2</v>
      </c>
      <c r="U20" s="15">
        <v>-5.4960000000000002E-2</v>
      </c>
    </row>
    <row r="21" spans="1:21" x14ac:dyDescent="0.45">
      <c r="A21" s="4">
        <v>43677</v>
      </c>
      <c r="B21" s="15">
        <v>-0.124031007751938</v>
      </c>
      <c r="C21" s="15">
        <v>-0.13709677419354838</v>
      </c>
      <c r="D21" s="15">
        <v>8.9270862212364799E-2</v>
      </c>
      <c r="E21" s="15">
        <v>3.8563829787233939E-2</v>
      </c>
      <c r="F21" s="15">
        <v>-4.4726301735647511E-2</v>
      </c>
      <c r="G21" s="15">
        <v>5.9958932238193041E-2</v>
      </c>
      <c r="H21" s="15">
        <v>0.29881656804733736</v>
      </c>
      <c r="I21" s="15">
        <v>-0.12979382544599899</v>
      </c>
      <c r="J21" s="15">
        <v>-1.68634064080941E-3</v>
      </c>
      <c r="K21" s="15">
        <v>-0.21052631578947401</v>
      </c>
      <c r="L21" s="15">
        <v>4.2842129168063599E-3</v>
      </c>
      <c r="M21" s="15">
        <v>0.12740384615384601</v>
      </c>
      <c r="N21" s="15">
        <v>3.0856678846934701E-2</v>
      </c>
      <c r="O21" s="15">
        <v>2.877697841726623E-2</v>
      </c>
      <c r="P21" s="15">
        <v>-1.89933523266856E-2</v>
      </c>
      <c r="Q21" s="15">
        <v>-0.19813176007866301</v>
      </c>
      <c r="R21" s="15">
        <v>-3.2015065913370999E-2</v>
      </c>
      <c r="S21" s="15">
        <v>-3.258655804480648E-2</v>
      </c>
      <c r="T21" s="15">
        <v>-3.4542314335060498E-2</v>
      </c>
      <c r="U21" s="15">
        <v>0.42984</v>
      </c>
    </row>
    <row r="22" spans="1:21" x14ac:dyDescent="0.45">
      <c r="A22" s="4">
        <v>43707</v>
      </c>
      <c r="B22" s="15">
        <v>-0.1976401179941</v>
      </c>
      <c r="C22" s="15">
        <v>-0.28037383177570097</v>
      </c>
      <c r="D22" s="15">
        <v>0.51361669636039697</v>
      </c>
      <c r="E22" s="15">
        <v>-0.1011523687580026</v>
      </c>
      <c r="F22" s="15">
        <v>-3.9133473095737226E-2</v>
      </c>
      <c r="G22" s="15">
        <v>0.11894614490507549</v>
      </c>
      <c r="H22" s="15">
        <v>-0.22779043280182232</v>
      </c>
      <c r="I22" s="15">
        <v>7.3266249940195905E-4</v>
      </c>
      <c r="J22" s="15">
        <v>-2.0270270270270299E-2</v>
      </c>
      <c r="K22" s="15">
        <v>0.37333333333333302</v>
      </c>
      <c r="L22" s="15">
        <v>5.7188537695240802E-3</v>
      </c>
      <c r="M22" s="15">
        <v>-6.1833688699360297E-2</v>
      </c>
      <c r="N22" s="15">
        <v>-0.13916094241531499</v>
      </c>
      <c r="O22" s="15">
        <v>-0.12587412587412583</v>
      </c>
      <c r="P22" s="15">
        <v>-5.9295012828410702E-2</v>
      </c>
      <c r="Q22" s="15">
        <v>3.1269160024524699E-2</v>
      </c>
      <c r="R22" s="15">
        <v>1.8581522426217599E-2</v>
      </c>
      <c r="S22" s="15">
        <v>1.0526315789473717E-2</v>
      </c>
      <c r="T22" s="15">
        <v>-8.6762075134168115E-2</v>
      </c>
      <c r="U22" s="15">
        <v>-0.18003</v>
      </c>
    </row>
    <row r="23" spans="1:21" x14ac:dyDescent="0.45">
      <c r="A23" s="4">
        <v>43738</v>
      </c>
      <c r="B23" s="15">
        <v>6.1274509803921601E-2</v>
      </c>
      <c r="C23" s="15">
        <v>0.22510822510822504</v>
      </c>
      <c r="D23" s="15">
        <v>-0.20127795527156556</v>
      </c>
      <c r="E23" s="15">
        <v>6.8376068376068355E-2</v>
      </c>
      <c r="F23" s="15">
        <v>-1.6566641279512573E-2</v>
      </c>
      <c r="G23" s="15">
        <v>-6.9252077562327319E-3</v>
      </c>
      <c r="H23" s="15">
        <v>0.24336283185840712</v>
      </c>
      <c r="I23" s="15">
        <v>-1.6000000000000499E-3</v>
      </c>
      <c r="J23" s="15">
        <v>4.8043339829805201E-2</v>
      </c>
      <c r="K23" s="15">
        <v>1.33616504854369</v>
      </c>
      <c r="L23" s="15">
        <v>3.4423723631916897E-2</v>
      </c>
      <c r="M23" s="15">
        <v>6.8181818181818094E-2</v>
      </c>
      <c r="N23" s="15">
        <v>6.96173351775011E-2</v>
      </c>
      <c r="O23" s="15">
        <v>-3.2897101449275379E-2</v>
      </c>
      <c r="P23" s="15">
        <v>0.127461139896373</v>
      </c>
      <c r="Q23" s="15">
        <v>7.3325406262385998E-2</v>
      </c>
      <c r="R23" s="15">
        <v>1.6483516483516401E-2</v>
      </c>
      <c r="S23" s="15">
        <v>0.11597222222222214</v>
      </c>
      <c r="T23" s="15">
        <v>8.7169441723800256E-2</v>
      </c>
      <c r="U23" s="15">
        <v>0.16908000000000001</v>
      </c>
    </row>
    <row r="24" spans="1:21" x14ac:dyDescent="0.45">
      <c r="A24" s="4">
        <v>43769</v>
      </c>
      <c r="B24" s="15">
        <v>-0.122401847575058</v>
      </c>
      <c r="C24" s="15">
        <v>-0.22261484098939932</v>
      </c>
      <c r="D24" s="15">
        <v>-6.0210526315789492E-2</v>
      </c>
      <c r="E24" s="15">
        <v>-0.1186666666666667</v>
      </c>
      <c r="F24" s="15">
        <v>-0.20715350223546947</v>
      </c>
      <c r="G24" s="15">
        <v>7.9149232914923262E-2</v>
      </c>
      <c r="H24" s="15">
        <v>-0.15065243179122179</v>
      </c>
      <c r="I24" s="15">
        <v>3.1928007889546299E-2</v>
      </c>
      <c r="J24" s="15">
        <v>1.25523012552302E-2</v>
      </c>
      <c r="K24" s="15">
        <v>0.30285714285714299</v>
      </c>
      <c r="L24" s="15">
        <v>5.1927372621261E-2</v>
      </c>
      <c r="M24" s="15">
        <v>3.1914893617021302E-2</v>
      </c>
      <c r="N24" s="15">
        <v>-7.7586206896551699E-2</v>
      </c>
      <c r="O24" s="15">
        <v>-7.8431372549019662E-2</v>
      </c>
      <c r="P24" s="15">
        <v>-2.6654411764705802E-2</v>
      </c>
      <c r="Q24" s="15">
        <v>2.5480059084195001E-2</v>
      </c>
      <c r="R24" s="15">
        <v>2.7027027027026799E-3</v>
      </c>
      <c r="S24" s="15">
        <v>-8.2762912258867449E-2</v>
      </c>
      <c r="T24" s="15">
        <v>-0.11531531531531536</v>
      </c>
      <c r="U24" s="15">
        <v>-0.56898000000000004</v>
      </c>
    </row>
    <row r="25" spans="1:21" x14ac:dyDescent="0.45">
      <c r="A25" s="4">
        <v>43798</v>
      </c>
      <c r="B25" s="15">
        <v>1.05263157894737E-2</v>
      </c>
      <c r="C25" s="15">
        <v>-0.12272727272727268</v>
      </c>
      <c r="D25" s="15">
        <v>-3.4946236559139754E-2</v>
      </c>
      <c r="E25" s="15">
        <v>6.35400907715582E-2</v>
      </c>
      <c r="F25" s="15">
        <v>8.4586466165412766E-3</v>
      </c>
      <c r="G25" s="15">
        <v>-0.17350565428109854</v>
      </c>
      <c r="H25" s="15">
        <v>-5.8659217877094938E-2</v>
      </c>
      <c r="I25" s="15">
        <v>2.8695888987371399E-2</v>
      </c>
      <c r="J25" s="15">
        <v>9.0909090909090402E-3</v>
      </c>
      <c r="K25" s="15">
        <v>-0.110845295055821</v>
      </c>
      <c r="L25" s="15">
        <v>9.4724900737379603E-3</v>
      </c>
      <c r="M25" s="15">
        <v>-4.3298969072164899E-2</v>
      </c>
      <c r="N25" s="15">
        <v>5.6204286875253903E-2</v>
      </c>
      <c r="O25" s="15">
        <v>9.8372966207759704E-2</v>
      </c>
      <c r="P25" s="15">
        <v>4.1640351543835101E-2</v>
      </c>
      <c r="Q25" s="15">
        <v>2.1786100108030199E-2</v>
      </c>
      <c r="R25" s="15">
        <v>9.4522422033731495E-3</v>
      </c>
      <c r="S25" s="15">
        <v>0.10922659430122117</v>
      </c>
      <c r="T25" s="15">
        <v>0.10590631364562109</v>
      </c>
      <c r="U25" s="15">
        <v>2.674E-2</v>
      </c>
    </row>
    <row r="26" spans="1:21" x14ac:dyDescent="0.45">
      <c r="A26" s="4">
        <v>43830</v>
      </c>
      <c r="B26" s="15">
        <v>0.20833333333333301</v>
      </c>
      <c r="C26" s="15">
        <v>0.4818652849740932</v>
      </c>
      <c r="D26" s="15">
        <v>-0.11304549675023212</v>
      </c>
      <c r="E26" s="15">
        <v>-1.1379800853485111E-2</v>
      </c>
      <c r="F26" s="15">
        <v>0.31517120896955686</v>
      </c>
      <c r="G26" s="15">
        <v>6.8803752931978046E-2</v>
      </c>
      <c r="H26" s="15">
        <v>-2.3738872403560873E-2</v>
      </c>
      <c r="I26" s="15">
        <v>-6.28857575404684E-3</v>
      </c>
      <c r="J26" s="15">
        <v>3.3028486694884701E-2</v>
      </c>
      <c r="K26" s="15">
        <v>-6.4125560538116605E-2</v>
      </c>
      <c r="L26" s="15">
        <v>1.22492554924987E-2</v>
      </c>
      <c r="M26" s="15">
        <v>-5.6034482758620698E-2</v>
      </c>
      <c r="N26" s="15">
        <v>0.14317573595004501</v>
      </c>
      <c r="O26" s="15">
        <v>2.8085158898155216E-2</v>
      </c>
      <c r="P26" s="15">
        <v>4.6532846715328501E-2</v>
      </c>
      <c r="Q26" s="15">
        <v>8.8634361233480105E-2</v>
      </c>
      <c r="R26" s="15">
        <v>2.6881720430105299E-4</v>
      </c>
      <c r="S26" s="15">
        <v>7.0336391437308965E-2</v>
      </c>
      <c r="T26" s="15">
        <v>0.15837937384898715</v>
      </c>
      <c r="U26" s="15">
        <v>4.0090000000000001E-2</v>
      </c>
    </row>
    <row r="27" spans="1:21" x14ac:dyDescent="0.45">
      <c r="A27" s="4">
        <v>43861</v>
      </c>
      <c r="B27" s="15">
        <v>-0.25</v>
      </c>
      <c r="C27" s="15">
        <v>-0.27272727272727271</v>
      </c>
      <c r="D27" s="15">
        <v>0.335775974875687</v>
      </c>
      <c r="E27" s="15">
        <v>0.16690647482014387</v>
      </c>
      <c r="F27" s="15">
        <v>-0.17642857142857138</v>
      </c>
      <c r="G27" s="15">
        <v>7.3152889539129795E-4</v>
      </c>
      <c r="H27" s="15">
        <v>-0.41337386018237077</v>
      </c>
      <c r="I27" s="15">
        <v>5.0158209305051001E-2</v>
      </c>
      <c r="J27" s="15">
        <v>2.63299301450832E-2</v>
      </c>
      <c r="K27" s="15">
        <v>0.22472448490656399</v>
      </c>
      <c r="L27" s="15">
        <v>-2.57762476565945E-2</v>
      </c>
      <c r="M27" s="15">
        <v>-1.8264840182648401E-2</v>
      </c>
      <c r="N27" s="15">
        <v>-0.14787358564182601</v>
      </c>
      <c r="O27" s="15">
        <v>-0.15355471361711615</v>
      </c>
      <c r="P27" s="15">
        <v>-0.238012205754141</v>
      </c>
      <c r="Q27" s="15">
        <v>-2.4765296212366401E-2</v>
      </c>
      <c r="R27" s="15">
        <v>1.3705993012631101E-2</v>
      </c>
      <c r="S27" s="15">
        <v>9.657142857142853E-2</v>
      </c>
      <c r="T27" s="15">
        <v>-0.16375198728139906</v>
      </c>
      <c r="U27" s="15">
        <v>-8.9940000000000006E-2</v>
      </c>
    </row>
    <row r="28" spans="1:21" x14ac:dyDescent="0.45">
      <c r="A28" s="4">
        <v>43889</v>
      </c>
      <c r="B28" s="15">
        <v>-6.6091954022988494E-2</v>
      </c>
      <c r="C28" s="15">
        <v>-0.29807692307692313</v>
      </c>
      <c r="D28" s="15">
        <v>-0.13499216300940442</v>
      </c>
      <c r="E28" s="15">
        <v>-7.644882860665847E-2</v>
      </c>
      <c r="F28" s="15">
        <v>-8.0659150043365102E-2</v>
      </c>
      <c r="G28" s="15">
        <v>-5.4824561403508776E-2</v>
      </c>
      <c r="H28" s="15">
        <v>-0.25906735751295329</v>
      </c>
      <c r="I28" s="15">
        <v>-0.137106442261267</v>
      </c>
      <c r="J28" s="15">
        <v>-5.6020942408377003E-2</v>
      </c>
      <c r="K28" s="15">
        <v>-3.1690140845070401E-2</v>
      </c>
      <c r="L28" s="15">
        <v>-9.7401103955841797E-2</v>
      </c>
      <c r="M28" s="15">
        <v>-0.13720930232558101</v>
      </c>
      <c r="N28" s="15">
        <v>-0.25715604801477399</v>
      </c>
      <c r="O28" s="15">
        <v>-0.21011058451816744</v>
      </c>
      <c r="P28" s="15">
        <v>-0.141131188791569</v>
      </c>
      <c r="Q28" s="15">
        <v>-0.152033195020747</v>
      </c>
      <c r="R28" s="15">
        <v>-8.3797117710005198E-2</v>
      </c>
      <c r="S28" s="15">
        <v>0.17457008858780609</v>
      </c>
      <c r="T28" s="15">
        <v>-0.28612167300380231</v>
      </c>
      <c r="U28" s="15">
        <v>0.16522999999999999</v>
      </c>
    </row>
    <row r="29" spans="1:21" x14ac:dyDescent="0.45">
      <c r="A29" s="4">
        <v>43921</v>
      </c>
      <c r="B29" s="15">
        <v>-0.50307692307692298</v>
      </c>
      <c r="C29" s="15">
        <v>-0.48630136986301364</v>
      </c>
      <c r="D29" s="15">
        <v>-8.8788221970554915E-2</v>
      </c>
      <c r="E29" s="15">
        <v>-0.32309746328437916</v>
      </c>
      <c r="F29" s="15">
        <v>-0.49457960940086065</v>
      </c>
      <c r="G29" s="15">
        <v>-0.13805104408352664</v>
      </c>
      <c r="H29" s="15">
        <v>3.2132867132867133</v>
      </c>
      <c r="I29" s="15">
        <v>-0.34478734439834002</v>
      </c>
      <c r="J29" s="15">
        <v>-0.46722072898445599</v>
      </c>
      <c r="K29" s="15">
        <v>-0.66707070707070704</v>
      </c>
      <c r="L29" s="15">
        <v>6.6887501592558501E-3</v>
      </c>
      <c r="M29" s="15">
        <v>-0.23180592991913801</v>
      </c>
      <c r="N29" s="15">
        <v>-0.34742075823492902</v>
      </c>
      <c r="O29" s="15">
        <v>-0.39869160554197225</v>
      </c>
      <c r="P29" s="15">
        <v>-3.2258064516128997E-2</v>
      </c>
      <c r="Q29" s="15">
        <v>-5.5392444705421803E-2</v>
      </c>
      <c r="R29" s="15">
        <v>8.8843577046315195E-2</v>
      </c>
      <c r="S29" s="15">
        <v>-0.24445430346051467</v>
      </c>
      <c r="T29" s="15">
        <v>-0.46737683089214377</v>
      </c>
      <c r="U29" s="15">
        <v>-0.47499999999999998</v>
      </c>
    </row>
    <row r="30" spans="1:21" x14ac:dyDescent="0.45">
      <c r="A30" s="4">
        <v>43951</v>
      </c>
      <c r="B30" s="15">
        <v>0.48606811145510798</v>
      </c>
      <c r="C30" s="15">
        <v>1.3333333333333419E-2</v>
      </c>
      <c r="D30" s="15">
        <v>0.13522247079294059</v>
      </c>
      <c r="E30" s="15">
        <v>0.11242603550295849</v>
      </c>
      <c r="F30" s="15">
        <v>0.30285714285714294</v>
      </c>
      <c r="G30" s="15">
        <v>0.16509645580978027</v>
      </c>
      <c r="H30" s="15">
        <v>-0.36182572614107877</v>
      </c>
      <c r="I30" s="15">
        <v>-2.0779734811003401E-2</v>
      </c>
      <c r="J30" s="15">
        <v>0.263694951664877</v>
      </c>
      <c r="K30" s="15">
        <v>0.53155339805825297</v>
      </c>
      <c r="L30" s="15">
        <v>3.0406522181416901E-2</v>
      </c>
      <c r="M30" s="15">
        <v>0.66315789473684195</v>
      </c>
      <c r="N30" s="15">
        <v>0.32857142857142901</v>
      </c>
      <c r="O30" s="15">
        <v>0.10095344924284921</v>
      </c>
      <c r="P30" s="15">
        <v>-1.1111111111111099E-2</v>
      </c>
      <c r="Q30" s="15">
        <v>9.6353087443017002E-2</v>
      </c>
      <c r="R30" s="15">
        <v>-7.6243980738362804E-2</v>
      </c>
      <c r="S30" s="15">
        <v>6.0481503229594891E-2</v>
      </c>
      <c r="T30" s="15">
        <v>0.61749999999999994</v>
      </c>
      <c r="U30" s="15">
        <v>0.47619</v>
      </c>
    </row>
    <row r="31" spans="1:21" x14ac:dyDescent="0.45">
      <c r="A31" s="4">
        <v>43980</v>
      </c>
      <c r="B31" s="15">
        <v>0.23749999999999999</v>
      </c>
      <c r="C31" s="15">
        <v>-9.2105263157894801E-2</v>
      </c>
      <c r="D31" s="15">
        <v>0.24720823297569527</v>
      </c>
      <c r="E31" s="15">
        <v>-0.11170212765957444</v>
      </c>
      <c r="F31" s="15">
        <v>1.3157894736842035E-2</v>
      </c>
      <c r="G31" s="15">
        <v>-9.6264921062764186E-3</v>
      </c>
      <c r="H31" s="15">
        <v>0.22496749024707419</v>
      </c>
      <c r="I31" s="15">
        <v>9.7210994341147897E-2</v>
      </c>
      <c r="J31" s="15">
        <v>2.5499362515937199E-3</v>
      </c>
      <c r="K31" s="15">
        <v>0.29556259904912802</v>
      </c>
      <c r="L31" s="15">
        <v>0.105099695633269</v>
      </c>
      <c r="M31" s="15">
        <v>6.3291139240506701E-3</v>
      </c>
      <c r="N31" s="15">
        <v>0.19760197986004399</v>
      </c>
      <c r="O31" s="15">
        <v>0.24961793173713698</v>
      </c>
      <c r="P31" s="15">
        <v>-0.15449438202247201</v>
      </c>
      <c r="Q31" s="15">
        <v>0.13532413532413501</v>
      </c>
      <c r="R31" s="15">
        <v>2.41299129525114E-2</v>
      </c>
      <c r="S31" s="15">
        <v>0.18826135105204878</v>
      </c>
      <c r="T31" s="15">
        <v>-0.14219474497681606</v>
      </c>
      <c r="U31" s="15">
        <v>-0.23386999999999999</v>
      </c>
    </row>
    <row r="32" spans="1:21" x14ac:dyDescent="0.45">
      <c r="A32" s="4">
        <v>44012</v>
      </c>
      <c r="B32" s="15">
        <v>-0.17508417508417501</v>
      </c>
      <c r="C32" s="15">
        <v>-8.1594202898550683E-2</v>
      </c>
      <c r="D32" s="15">
        <v>-0.1002457865168539</v>
      </c>
      <c r="E32" s="15">
        <v>-8.1836327345309434E-2</v>
      </c>
      <c r="F32" s="15">
        <v>8.7313310356146312E-2</v>
      </c>
      <c r="G32" s="15">
        <v>-0.12363919129082424</v>
      </c>
      <c r="H32" s="15">
        <v>0.17728237791932044</v>
      </c>
      <c r="I32" s="15">
        <v>-2.4129673973107401E-2</v>
      </c>
      <c r="J32" s="15">
        <v>4.7434176928102603E-2</v>
      </c>
      <c r="K32" s="15">
        <v>0.430581039755352</v>
      </c>
      <c r="L32" s="15">
        <v>-1.18037209825195E-3</v>
      </c>
      <c r="M32" s="15">
        <v>0.21174004192872101</v>
      </c>
      <c r="N32" s="15">
        <v>-6.7837674136886697E-2</v>
      </c>
      <c r="O32" s="15">
        <v>5.3290667640443434E-2</v>
      </c>
      <c r="P32" s="15">
        <v>0.31705589212429203</v>
      </c>
      <c r="Q32" s="15">
        <v>-4.5779923422673598E-2</v>
      </c>
      <c r="R32" s="15">
        <v>3.36086585018514E-2</v>
      </c>
      <c r="S32" s="15">
        <v>0.29450139794967378</v>
      </c>
      <c r="T32" s="15">
        <v>9.1891891891891841E-2</v>
      </c>
      <c r="U32" s="15">
        <v>0.14035</v>
      </c>
    </row>
    <row r="33" spans="1:21" x14ac:dyDescent="0.45">
      <c r="A33" s="4">
        <v>44043</v>
      </c>
      <c r="B33" s="15">
        <v>-9.3877551020408206E-2</v>
      </c>
      <c r="C33" s="15">
        <v>6.9906896007574604E-2</v>
      </c>
      <c r="D33" s="15">
        <v>-7.41463414634147E-3</v>
      </c>
      <c r="E33" s="15">
        <v>4.3478260869565188E-2</v>
      </c>
      <c r="F33" s="15">
        <v>-2.1563342318059342E-2</v>
      </c>
      <c r="G33" s="15">
        <v>0.19742679680567887</v>
      </c>
      <c r="H33" s="15">
        <v>7.935076645626693E-2</v>
      </c>
      <c r="I33" s="15">
        <v>1.39675349188373E-2</v>
      </c>
      <c r="J33" s="15">
        <v>-8.3022000830223998E-4</v>
      </c>
      <c r="K33" s="15">
        <v>-3.8477982043608702E-3</v>
      </c>
      <c r="L33" s="15">
        <v>0.34079879520432199</v>
      </c>
      <c r="M33" s="15">
        <v>0.12802768166090001</v>
      </c>
      <c r="N33" s="15">
        <v>6.4977257959713004E-3</v>
      </c>
      <c r="O33" s="15">
        <v>8.3593749999999911E-2</v>
      </c>
      <c r="P33" s="15">
        <v>-7.0975918884664105E-2</v>
      </c>
      <c r="Q33" s="15">
        <v>5.5652477320307099E-2</v>
      </c>
      <c r="R33" s="15">
        <v>-3.3342518600165301E-2</v>
      </c>
      <c r="S33" s="15">
        <v>-3.5997120230382151E-3</v>
      </c>
      <c r="T33" s="15">
        <v>-1.320132013201325E-2</v>
      </c>
      <c r="U33" s="15">
        <v>-4.308E-2</v>
      </c>
    </row>
    <row r="34" spans="1:21" x14ac:dyDescent="0.45">
      <c r="A34" s="4">
        <v>44074</v>
      </c>
      <c r="B34" s="15">
        <v>7.4324324324324301E-2</v>
      </c>
      <c r="C34" s="15">
        <v>-2.9498525073746285E-2</v>
      </c>
      <c r="D34" s="15">
        <v>0.20385295852172214</v>
      </c>
      <c r="E34" s="15">
        <v>8.3333333333333259E-2</v>
      </c>
      <c r="F34" s="15">
        <v>7.1625344352617137E-2</v>
      </c>
      <c r="G34" s="15">
        <v>2.1859948128936546E-2</v>
      </c>
      <c r="H34" s="15">
        <v>-0.43943191311612362</v>
      </c>
      <c r="I34" s="15">
        <v>0.12686672963569001</v>
      </c>
      <c r="J34" s="15">
        <v>-1.2463647694225101E-2</v>
      </c>
      <c r="K34" s="15">
        <v>0.34420600858369099</v>
      </c>
      <c r="L34" s="15">
        <v>3.7785402634811699E-2</v>
      </c>
      <c r="M34" s="15">
        <v>-3.6809815950920297E-2</v>
      </c>
      <c r="N34" s="15">
        <v>-6.8100470138033706E-2</v>
      </c>
      <c r="O34" s="15">
        <v>0.10093727469358327</v>
      </c>
      <c r="P34" s="15">
        <v>-5.9411224656147302E-2</v>
      </c>
      <c r="Q34" s="15">
        <v>4.4785985787473101E-2</v>
      </c>
      <c r="R34" s="15">
        <v>1.0236729789005101E-2</v>
      </c>
      <c r="S34" s="15">
        <v>0.23338150289017334</v>
      </c>
      <c r="T34" s="15">
        <v>7.6923076923076872E-2</v>
      </c>
      <c r="U34" s="15">
        <v>0.12218999999999999</v>
      </c>
    </row>
    <row r="35" spans="1:21" x14ac:dyDescent="0.45">
      <c r="A35" s="4">
        <v>44104</v>
      </c>
      <c r="B35" s="15">
        <v>-0.19496855345911901</v>
      </c>
      <c r="C35" s="15">
        <v>-0.1557750759878419</v>
      </c>
      <c r="D35" s="15">
        <v>5.7315480078380165E-2</v>
      </c>
      <c r="E35" s="15">
        <v>-0.19807692307692304</v>
      </c>
      <c r="F35" s="15">
        <v>-0.17378673087176078</v>
      </c>
      <c r="G35" s="15">
        <v>-5.7287889775199385E-2</v>
      </c>
      <c r="H35" s="15">
        <v>6.7064083457526014E-2</v>
      </c>
      <c r="I35" s="15">
        <v>5.3740255432078297E-2</v>
      </c>
      <c r="J35" s="15">
        <v>-4.9889362780448199E-2</v>
      </c>
      <c r="K35" s="15">
        <v>3.8314176245210801E-2</v>
      </c>
      <c r="L35" s="15">
        <v>-4.9389771011061699E-2</v>
      </c>
      <c r="M35" s="15">
        <v>0.224522292993631</v>
      </c>
      <c r="N35" s="15">
        <v>-6.9327731092437006E-2</v>
      </c>
      <c r="O35" s="15">
        <v>-8.7082383920011885E-4</v>
      </c>
      <c r="P35" s="15">
        <v>-4.6647230320699701E-2</v>
      </c>
      <c r="Q35" s="15">
        <v>8.98449857639987E-2</v>
      </c>
      <c r="R35" s="15">
        <v>-2.0460358056266E-2</v>
      </c>
      <c r="S35" s="15">
        <v>-2.1675454012888062E-2</v>
      </c>
      <c r="T35" s="15">
        <v>-0.19720496894409933</v>
      </c>
      <c r="U35" s="15">
        <v>-0.13181000000000001</v>
      </c>
    </row>
    <row r="36" spans="1:21" x14ac:dyDescent="0.45">
      <c r="A36" s="4">
        <v>44134</v>
      </c>
      <c r="B36" s="15">
        <v>-0.21354166666666699</v>
      </c>
      <c r="C36" s="15">
        <v>-0.1314131413141314</v>
      </c>
      <c r="D36" s="15">
        <v>-2.2393822393822371E-2</v>
      </c>
      <c r="E36" s="15">
        <v>4.7961630695443347E-3</v>
      </c>
      <c r="F36" s="15">
        <v>-6.466876971608837E-2</v>
      </c>
      <c r="G36" s="15">
        <v>3.6538461538461631E-2</v>
      </c>
      <c r="H36" s="15">
        <v>-0.3994413407821229</v>
      </c>
      <c r="I36" s="15">
        <v>-1.7944278293719501E-2</v>
      </c>
      <c r="J36" s="15">
        <v>-1.2289485662266701E-2</v>
      </c>
      <c r="K36" s="15">
        <v>-2.3370233702337002E-2</v>
      </c>
      <c r="L36" s="15">
        <v>-3.03924026502599E-2</v>
      </c>
      <c r="M36" s="15">
        <v>0.47334200260078002</v>
      </c>
      <c r="N36" s="15">
        <v>0.11136192626034599</v>
      </c>
      <c r="O36" s="15">
        <v>-1.4196104324859737E-2</v>
      </c>
      <c r="P36" s="15">
        <v>-2.1406727828746201E-2</v>
      </c>
      <c r="Q36" s="15">
        <v>7.09724238026124E-2</v>
      </c>
      <c r="R36" s="15">
        <v>2.2048157818392901E-2</v>
      </c>
      <c r="S36" s="15">
        <v>0.14940119760479043</v>
      </c>
      <c r="T36" s="15">
        <v>-0.160541586073501</v>
      </c>
      <c r="U36" s="15">
        <v>-0.25083</v>
      </c>
    </row>
    <row r="37" spans="1:21" x14ac:dyDescent="0.45">
      <c r="A37" s="4">
        <v>44165</v>
      </c>
      <c r="B37" s="15">
        <v>0.40066225165562902</v>
      </c>
      <c r="C37" s="15">
        <v>3.0538860103626941</v>
      </c>
      <c r="D37" s="15">
        <v>1.2116903633491312</v>
      </c>
      <c r="E37" s="15">
        <v>0.34606205250596656</v>
      </c>
      <c r="F37" s="15">
        <v>0.15005092414806409</v>
      </c>
      <c r="G37" s="15">
        <v>0.25862708719851568</v>
      </c>
      <c r="H37" s="15">
        <v>0.78372093023255807</v>
      </c>
      <c r="I37" s="15">
        <v>0.243918511562392</v>
      </c>
      <c r="J37" s="15">
        <v>0.197235023041475</v>
      </c>
      <c r="K37" s="15">
        <v>0.25724181360201498</v>
      </c>
      <c r="L37" s="15">
        <v>1.4366021236727099E-2</v>
      </c>
      <c r="M37" s="15">
        <v>0.13592233009708701</v>
      </c>
      <c r="N37" s="15">
        <v>0.28208640385721701</v>
      </c>
      <c r="O37" s="15">
        <v>0.22170127260549233</v>
      </c>
      <c r="P37" s="15">
        <v>0.15609375</v>
      </c>
      <c r="Q37" s="15">
        <v>-1.7482043637349301E-2</v>
      </c>
      <c r="R37" s="15">
        <v>5.69576937607763E-2</v>
      </c>
      <c r="S37" s="15">
        <v>0.16045845272206294</v>
      </c>
      <c r="T37" s="15">
        <v>0.44009216589861744</v>
      </c>
      <c r="U37" s="15">
        <v>0.36564000000000002</v>
      </c>
    </row>
    <row r="38" spans="1:21" x14ac:dyDescent="0.45">
      <c r="A38" s="4">
        <v>44196</v>
      </c>
      <c r="B38" s="15">
        <v>-3.07328605200946E-2</v>
      </c>
      <c r="C38" s="15">
        <v>0.21319018404907975</v>
      </c>
      <c r="D38" s="15">
        <v>0.1577857142857142</v>
      </c>
      <c r="E38" s="15">
        <v>-3.1914893617021267E-2</v>
      </c>
      <c r="F38" s="15">
        <v>0.21130952380952372</v>
      </c>
      <c r="G38" s="15">
        <v>0.11645047169811318</v>
      </c>
      <c r="H38" s="15">
        <v>-0.27118644067796605</v>
      </c>
      <c r="I38" s="15">
        <v>2.50775594622543E-2</v>
      </c>
      <c r="J38" s="15">
        <v>8.3551823080691506E-2</v>
      </c>
      <c r="K38" s="15">
        <v>-0.17705985474580499</v>
      </c>
      <c r="L38" s="15">
        <v>-3.5626319493314899E-3</v>
      </c>
      <c r="M38" s="15">
        <v>-8.5470085470085201E-3</v>
      </c>
      <c r="N38" s="15">
        <v>0.113782051282051</v>
      </c>
      <c r="O38" s="15">
        <v>4.376910177026283E-2</v>
      </c>
      <c r="P38" s="15">
        <v>5.44217687074822E-3</v>
      </c>
      <c r="Q38" s="15">
        <v>1.9172413793103499E-2</v>
      </c>
      <c r="R38" s="15">
        <v>2.9753854476601799E-3</v>
      </c>
      <c r="S38" s="15">
        <v>0.17261503928170585</v>
      </c>
      <c r="T38" s="15">
        <v>0.12959999999999994</v>
      </c>
      <c r="U38" s="15">
        <v>0.23225999999999999</v>
      </c>
    </row>
    <row r="39" spans="1:21" x14ac:dyDescent="0.45">
      <c r="A39" s="4">
        <v>44225</v>
      </c>
      <c r="B39" s="15">
        <v>0.224390243902439</v>
      </c>
      <c r="C39" s="15">
        <v>-6.3211125158024739E-4</v>
      </c>
      <c r="D39" s="15">
        <v>0.34776975754210615</v>
      </c>
      <c r="E39" s="15">
        <v>0.15384615384615374</v>
      </c>
      <c r="F39" s="15">
        <v>0.11793611793611802</v>
      </c>
      <c r="G39" s="15">
        <v>-6.0734090308951716E-2</v>
      </c>
      <c r="H39" s="15">
        <v>0.80679785330948128</v>
      </c>
      <c r="I39" s="15">
        <v>-6.8474148802017604E-2</v>
      </c>
      <c r="J39" s="15">
        <v>-3.1601888848528902E-2</v>
      </c>
      <c r="K39" s="15">
        <v>0.55690809494826499</v>
      </c>
      <c r="L39" s="15">
        <v>6.0727252908150398E-2</v>
      </c>
      <c r="M39" s="15">
        <v>0.46394984326018801</v>
      </c>
      <c r="N39" s="15">
        <v>-3.6450839328537203E-2</v>
      </c>
      <c r="O39" s="15">
        <v>0.28662083553675299</v>
      </c>
      <c r="P39" s="15">
        <v>2.9769959404600799E-2</v>
      </c>
      <c r="Q39" s="15">
        <v>8.1337122750033894E-2</v>
      </c>
      <c r="R39" s="15">
        <v>0.102481121898598</v>
      </c>
      <c r="S39" s="15">
        <v>7.3698315467074949E-2</v>
      </c>
      <c r="T39" s="15">
        <v>0.19971671388101986</v>
      </c>
      <c r="U39" s="15">
        <v>0.22513</v>
      </c>
    </row>
    <row r="40" spans="1:21" x14ac:dyDescent="0.45">
      <c r="A40" s="4">
        <v>44253</v>
      </c>
      <c r="B40" s="15">
        <v>0.25896414342629498</v>
      </c>
      <c r="C40" s="15">
        <v>0.14606864251076779</v>
      </c>
      <c r="D40" s="15">
        <v>-0.21312826146663</v>
      </c>
      <c r="E40" s="15">
        <v>4.1269841269841345E-2</v>
      </c>
      <c r="F40" s="15">
        <v>0.29780219780219785</v>
      </c>
      <c r="G40" s="15">
        <v>-5.5102614562833829E-2</v>
      </c>
      <c r="H40" s="15">
        <v>-0.12772277227722773</v>
      </c>
      <c r="I40" s="15">
        <v>5.4595793137251998E-2</v>
      </c>
      <c r="J40" s="15">
        <v>9.5273818454613607E-2</v>
      </c>
      <c r="K40" s="15">
        <v>0.124315871774824</v>
      </c>
      <c r="L40" s="15">
        <v>1.93299509413392E-2</v>
      </c>
      <c r="M40" s="15">
        <v>0.109743040685225</v>
      </c>
      <c r="N40" s="15">
        <v>0.22824319387589601</v>
      </c>
      <c r="O40" s="15">
        <v>0.32059186189889033</v>
      </c>
      <c r="P40" s="15">
        <v>0.24300179993153601</v>
      </c>
      <c r="Q40" s="15">
        <v>-1.10137672090113E-2</v>
      </c>
      <c r="R40" s="15">
        <v>-8.9081365067487997E-2</v>
      </c>
      <c r="S40" s="15">
        <v>1.8363344624710232E-2</v>
      </c>
      <c r="T40" s="15">
        <v>0.42384887839433283</v>
      </c>
      <c r="U40" s="15">
        <v>-6.4100000000000004E-2</v>
      </c>
    </row>
    <row r="41" spans="1:21" x14ac:dyDescent="0.45">
      <c r="A41" s="4">
        <v>44286</v>
      </c>
      <c r="B41" s="15">
        <v>-0.212025316455696</v>
      </c>
      <c r="C41" s="15">
        <v>-8.8779750661125423E-3</v>
      </c>
      <c r="D41" s="15">
        <v>-0.22658522396742287</v>
      </c>
      <c r="E41" s="15">
        <v>0.15243902439024382</v>
      </c>
      <c r="F41" s="15">
        <v>4.641172184763076E-2</v>
      </c>
      <c r="G41" s="15">
        <v>-3.2133293662600426E-2</v>
      </c>
      <c r="H41" s="15">
        <v>-0.28376844494892162</v>
      </c>
      <c r="I41" s="15">
        <v>7.0692763327324201E-2</v>
      </c>
      <c r="J41" s="15">
        <v>8.2619590176100197E-2</v>
      </c>
      <c r="K41" s="15">
        <v>0.83831710709318497</v>
      </c>
      <c r="L41" s="15">
        <v>7.2603866721513893E-2</v>
      </c>
      <c r="M41" s="15">
        <v>-8.0559575494452501E-2</v>
      </c>
      <c r="N41" s="15">
        <v>-0.117238562091503</v>
      </c>
      <c r="O41" s="15">
        <v>-0.2640916879861086</v>
      </c>
      <c r="P41" s="15">
        <v>0.13297872340425501</v>
      </c>
      <c r="Q41" s="15">
        <v>-1.9235636547709399E-2</v>
      </c>
      <c r="R41" s="15">
        <v>6.4324324324324306E-2</v>
      </c>
      <c r="S41" s="15">
        <v>-0.14863445378151263</v>
      </c>
      <c r="T41" s="15">
        <v>-4.809286898839138E-2</v>
      </c>
      <c r="U41" s="15">
        <v>-0.19406000000000001</v>
      </c>
    </row>
    <row r="42" spans="1:21" x14ac:dyDescent="0.45">
      <c r="A42" s="4">
        <v>44316</v>
      </c>
      <c r="B42" s="15">
        <v>-3.0120481927710899E-2</v>
      </c>
      <c r="C42" s="15">
        <v>0.14351057747284157</v>
      </c>
      <c r="D42" s="15">
        <v>-8.8529522376833425E-2</v>
      </c>
      <c r="E42" s="15">
        <v>-5.0264550264550234E-2</v>
      </c>
      <c r="F42" s="15">
        <v>-0.10839445802770986</v>
      </c>
      <c r="G42" s="15">
        <v>0.11620043037196437</v>
      </c>
      <c r="H42" s="15">
        <v>-6.0221870047543535E-2</v>
      </c>
      <c r="I42" s="15">
        <v>4.0889957907396197E-2</v>
      </c>
      <c r="J42" s="15">
        <v>4.80645161290323E-2</v>
      </c>
      <c r="K42" s="15">
        <v>0.25392472101380698</v>
      </c>
      <c r="L42" s="15">
        <v>0.131054530586562</v>
      </c>
      <c r="M42" s="15">
        <v>-0.105456453305351</v>
      </c>
      <c r="N42" s="15">
        <v>-7.0800555298472997E-2</v>
      </c>
      <c r="O42" s="15">
        <v>-4.1763832944668233E-2</v>
      </c>
      <c r="P42" s="15">
        <v>-1.5023474178403801E-2</v>
      </c>
      <c r="Q42" s="15">
        <v>1.43225806451612E-2</v>
      </c>
      <c r="R42" s="15">
        <v>2.7171152869476901E-2</v>
      </c>
      <c r="S42" s="15">
        <v>8.554390294057157E-2</v>
      </c>
      <c r="T42" s="15">
        <v>-1.9163763066202044E-2</v>
      </c>
      <c r="U42" s="15">
        <v>1.983E-2</v>
      </c>
    </row>
    <row r="43" spans="1:21" x14ac:dyDescent="0.45">
      <c r="A43" s="4">
        <v>44344</v>
      </c>
      <c r="B43" s="15">
        <v>0.175983436853002</v>
      </c>
      <c r="C43" s="15">
        <v>7.4195409461494499E-2</v>
      </c>
      <c r="D43" s="15">
        <v>-0.25334213566595143</v>
      </c>
      <c r="E43" s="15">
        <v>0.11699164345403901</v>
      </c>
      <c r="F43" s="15">
        <v>-8.6837294332723913E-2</v>
      </c>
      <c r="G43" s="15">
        <v>-6.8851556045166351E-3</v>
      </c>
      <c r="H43" s="15">
        <v>-0.15682967959527827</v>
      </c>
      <c r="I43" s="15">
        <v>4.5134554354283998E-2</v>
      </c>
      <c r="J43" s="15">
        <v>-1.41582025238535E-2</v>
      </c>
      <c r="K43" s="15">
        <v>7.4213741609472805E-2</v>
      </c>
      <c r="L43" s="15">
        <v>-4.9853172164173697E-3</v>
      </c>
      <c r="M43" s="15">
        <v>-0.117888563049853</v>
      </c>
      <c r="N43" s="15">
        <v>0.22383626527686501</v>
      </c>
      <c r="O43" s="15">
        <v>2.9646017699115124E-2</v>
      </c>
      <c r="P43" s="15">
        <v>-7.2449952335557705E-2</v>
      </c>
      <c r="Q43" s="15">
        <v>-6.4877242081160498E-3</v>
      </c>
      <c r="R43" s="15">
        <v>2.6023632378784099E-2</v>
      </c>
      <c r="S43" s="15">
        <v>1.8374692176548635E-2</v>
      </c>
      <c r="T43" s="15">
        <v>0.14742451154529301</v>
      </c>
      <c r="U43" s="15">
        <v>-8.0560000000000007E-2</v>
      </c>
    </row>
    <row r="44" spans="1:21" x14ac:dyDescent="0.45">
      <c r="A44" s="4">
        <v>44377</v>
      </c>
      <c r="B44" s="15">
        <v>6.3380281690140802E-2</v>
      </c>
      <c r="C44" s="15">
        <v>7.1927596062242083E-2</v>
      </c>
      <c r="D44" s="15">
        <v>0.52243589743589736</v>
      </c>
      <c r="E44" s="15">
        <v>7.4812967581048273E-3</v>
      </c>
      <c r="F44" s="15">
        <v>-1.5047210953643697E-2</v>
      </c>
      <c r="G44" s="15">
        <v>-5.3244592346089803E-2</v>
      </c>
      <c r="H44" s="15">
        <v>-0.14400000000000002</v>
      </c>
      <c r="I44" s="15">
        <v>-6.8070953436807094E-2</v>
      </c>
      <c r="J44" s="15">
        <v>1.48473430691727E-2</v>
      </c>
      <c r="K44" s="15">
        <v>-0.253738678649161</v>
      </c>
      <c r="L44" s="15">
        <v>-1.6334934797529101E-2</v>
      </c>
      <c r="M44" s="15">
        <v>-6.8484042553191501E-2</v>
      </c>
      <c r="N44" s="15">
        <v>-6.2704918032786897E-2</v>
      </c>
      <c r="O44" s="15">
        <v>4.6385485341746469E-2</v>
      </c>
      <c r="P44" s="15">
        <v>-6.2047569803516001E-2</v>
      </c>
      <c r="Q44" s="15">
        <v>2.84250960307297E-2</v>
      </c>
      <c r="R44" s="15">
        <v>-0.10838991270611099</v>
      </c>
      <c r="S44" s="15">
        <v>0.16666666666666674</v>
      </c>
      <c r="T44" s="15">
        <v>0.20975232198142413</v>
      </c>
      <c r="U44" s="15">
        <v>0.25378000000000001</v>
      </c>
    </row>
    <row r="45" spans="1:21" x14ac:dyDescent="0.45">
      <c r="A45" s="4">
        <v>44407</v>
      </c>
      <c r="B45" s="15">
        <v>-1.4900662251655599E-2</v>
      </c>
      <c r="C45" s="15">
        <v>-5.4214190490297742E-2</v>
      </c>
      <c r="D45" s="15">
        <v>-0.15477313974591655</v>
      </c>
      <c r="E45" s="15">
        <v>3.5891089108910812E-2</v>
      </c>
      <c r="F45" s="15">
        <v>-0.10677618069815198</v>
      </c>
      <c r="G45" s="15">
        <v>-9.9882835383714119E-2</v>
      </c>
      <c r="H45" s="15">
        <v>2.8037383177570208E-2</v>
      </c>
      <c r="I45" s="15">
        <v>-7.3637877706400207E-2</v>
      </c>
      <c r="J45" s="15">
        <v>1.6619629978049399E-2</v>
      </c>
      <c r="K45" s="15">
        <v>-1.7875623294759699E-2</v>
      </c>
      <c r="L45" s="15">
        <v>-7.9501832230170991E-3</v>
      </c>
      <c r="M45" s="15">
        <v>-0.184867951463241</v>
      </c>
      <c r="N45" s="15">
        <v>-7.1272409269785703E-2</v>
      </c>
      <c r="O45" s="15">
        <v>-8.0908152734778138E-2</v>
      </c>
      <c r="P45" s="15">
        <v>0.16538037486218299</v>
      </c>
      <c r="Q45" s="15">
        <v>-3.18725099601593E-2</v>
      </c>
      <c r="R45" s="15">
        <v>6.2822953494696701E-2</v>
      </c>
      <c r="S45" s="15">
        <v>9.2633928571428603E-2</v>
      </c>
      <c r="T45" s="15">
        <v>-0.10428662827895074</v>
      </c>
      <c r="U45" s="15">
        <v>-0.15662999999999999</v>
      </c>
    </row>
    <row r="46" spans="1:21" x14ac:dyDescent="0.45">
      <c r="A46" s="4">
        <v>44439</v>
      </c>
      <c r="B46" s="15">
        <v>-0.10084033613445401</v>
      </c>
      <c r="C46" s="15">
        <v>4.5031826534526198E-2</v>
      </c>
      <c r="D46" s="15">
        <v>-7.9275100919007135E-2</v>
      </c>
      <c r="E46" s="15">
        <v>-4.5400238948625993E-2</v>
      </c>
      <c r="F46" s="15">
        <v>-0.14597701149425291</v>
      </c>
      <c r="G46" s="15">
        <v>-0.1070615034168565</v>
      </c>
      <c r="H46" s="15">
        <v>-5.4545454545454564E-2</v>
      </c>
      <c r="I46" s="15">
        <v>2.3486977007947302E-2</v>
      </c>
      <c r="J46" s="15">
        <v>1.20296113510179E-2</v>
      </c>
      <c r="K46" s="15">
        <v>4.1383274259986703E-2</v>
      </c>
      <c r="L46" s="15">
        <v>-1.42331114573007E-2</v>
      </c>
      <c r="M46" s="15">
        <v>-8.3187390542907094E-2</v>
      </c>
      <c r="N46" s="15">
        <v>8.1658375592362997E-2</v>
      </c>
      <c r="O46" s="15">
        <v>3.256231753873795E-2</v>
      </c>
      <c r="P46" s="15">
        <v>-5.1280499878990499E-2</v>
      </c>
      <c r="Q46" s="15">
        <v>-4.6939300411522597E-2</v>
      </c>
      <c r="R46" s="15">
        <v>1.50740391730197E-2</v>
      </c>
      <c r="S46" s="15">
        <v>9.0471326426382337E-3</v>
      </c>
      <c r="T46" s="15">
        <v>0.12604996623902776</v>
      </c>
      <c r="U46" s="15">
        <v>0.18285999999999999</v>
      </c>
    </row>
    <row r="47" spans="1:21" x14ac:dyDescent="0.45">
      <c r="A47" s="4">
        <v>44469</v>
      </c>
      <c r="B47" s="15">
        <v>-2.9906542056074799E-2</v>
      </c>
      <c r="C47" s="15">
        <v>5.9067198527155584E-2</v>
      </c>
      <c r="D47" s="15">
        <v>-0.13703358208955219</v>
      </c>
      <c r="E47" s="15">
        <v>-2.0025031289111372E-2</v>
      </c>
      <c r="F47" s="15">
        <v>0.13806639748766258</v>
      </c>
      <c r="G47" s="15">
        <v>-0.24489795918367341</v>
      </c>
      <c r="H47" s="15">
        <v>0.76682692307692313</v>
      </c>
      <c r="I47" s="15">
        <v>-4.0407854984894298E-2</v>
      </c>
      <c r="J47" s="15">
        <v>-5.7259064879585098E-2</v>
      </c>
      <c r="K47" s="15">
        <v>-0.113329040566645</v>
      </c>
      <c r="L47" s="15">
        <v>-4.9565404784139101E-2</v>
      </c>
      <c r="M47" s="15">
        <v>9.3600764087870006E-2</v>
      </c>
      <c r="N47" s="15">
        <v>8.5601404741001003E-2</v>
      </c>
      <c r="O47" s="15">
        <v>-7.9949133704826369E-2</v>
      </c>
      <c r="P47" s="15">
        <v>-0.100300902708124</v>
      </c>
      <c r="Q47" s="15">
        <v>6.5308325462150901E-2</v>
      </c>
      <c r="R47" s="15">
        <v>-3.1464095407257003E-2</v>
      </c>
      <c r="S47" s="15">
        <v>-0.1550253073029646</v>
      </c>
      <c r="T47" s="15">
        <v>0.13456632653061229</v>
      </c>
      <c r="U47" s="15">
        <v>2.657E-2</v>
      </c>
    </row>
    <row r="48" spans="1:21" x14ac:dyDescent="0.45">
      <c r="A48" s="4">
        <v>44498</v>
      </c>
      <c r="B48" s="15">
        <v>0.15799614643545301</v>
      </c>
      <c r="C48" s="15">
        <v>-0.10444734173547732</v>
      </c>
      <c r="D48" s="15">
        <v>7.4586531185817817E-2</v>
      </c>
      <c r="E48" s="15">
        <v>-6.0025542784163499E-2</v>
      </c>
      <c r="F48" s="15">
        <v>-8.9928057553956831E-2</v>
      </c>
      <c r="G48" s="15">
        <v>-0.21332046332046328</v>
      </c>
      <c r="H48" s="15">
        <v>0.24489795918367352</v>
      </c>
      <c r="I48" s="15">
        <v>-9.1827364554637504E-3</v>
      </c>
      <c r="J48" s="15">
        <v>8.5092348284960401E-2</v>
      </c>
      <c r="K48" s="15">
        <v>-0.12584292976449801</v>
      </c>
      <c r="L48" s="15">
        <v>0.101865130243741</v>
      </c>
      <c r="M48" s="15">
        <v>-1.22270742358078E-2</v>
      </c>
      <c r="N48" s="15">
        <v>1.4152850788516001E-2</v>
      </c>
      <c r="O48" s="15">
        <v>-7.4637508913715234E-2</v>
      </c>
      <c r="P48" s="15">
        <v>-3.67892976588629E-2</v>
      </c>
      <c r="Q48" s="15">
        <v>4.2431918936035401E-2</v>
      </c>
      <c r="R48" s="15">
        <v>5.3707099816609802E-2</v>
      </c>
      <c r="S48" s="15">
        <v>0.40561355468081461</v>
      </c>
      <c r="T48" s="15">
        <v>0.17369308600337274</v>
      </c>
      <c r="U48" s="15">
        <v>-7.2940000000000005E-2</v>
      </c>
    </row>
    <row r="49" spans="1:21" x14ac:dyDescent="0.45">
      <c r="A49" s="4">
        <v>44530</v>
      </c>
      <c r="B49" s="15">
        <v>-4.6589018302828702E-2</v>
      </c>
      <c r="C49" s="15">
        <v>4.99707885002596E-2</v>
      </c>
      <c r="D49" s="15">
        <v>-0.25208731515944072</v>
      </c>
      <c r="E49" s="15">
        <v>-0.26766304347826086</v>
      </c>
      <c r="F49" s="15">
        <v>-9.8814229249011842E-2</v>
      </c>
      <c r="G49" s="15">
        <v>-2.822085889570547E-2</v>
      </c>
      <c r="H49" s="15">
        <v>0.22513661202185786</v>
      </c>
      <c r="I49" s="15">
        <v>-8.1283196160776894E-2</v>
      </c>
      <c r="J49" s="15">
        <v>-8.8145896656534897E-2</v>
      </c>
      <c r="K49" s="15">
        <v>0.13351530975551901</v>
      </c>
      <c r="L49" s="15">
        <v>1.08087575108777E-2</v>
      </c>
      <c r="M49" s="15">
        <v>-9.0185676392572897E-2</v>
      </c>
      <c r="N49" s="15">
        <v>-6.2887794315841294E-2</v>
      </c>
      <c r="O49" s="15">
        <v>-0.14307731826354997</v>
      </c>
      <c r="P49" s="15">
        <v>-0.14992187500000001</v>
      </c>
      <c r="Q49" s="15">
        <v>-1.17861482381532E-2</v>
      </c>
      <c r="R49" s="15">
        <v>6.9888646551027597E-2</v>
      </c>
      <c r="S49" s="15">
        <v>9.9841714355290323E-2</v>
      </c>
      <c r="T49" s="15">
        <v>-9.1475095785440663E-2</v>
      </c>
      <c r="U49" s="15">
        <v>2.0299999999999999E-2</v>
      </c>
    </row>
    <row r="50" spans="1:21" x14ac:dyDescent="0.45">
      <c r="A50" s="4">
        <v>44561</v>
      </c>
      <c r="B50" s="15">
        <v>8.7260034904014003E-2</v>
      </c>
      <c r="C50" s="15">
        <v>-3.2660145156200637E-2</v>
      </c>
      <c r="D50" s="15">
        <v>-0.12293207800941497</v>
      </c>
      <c r="E50" s="15">
        <v>0.2133580705009277</v>
      </c>
      <c r="F50" s="15">
        <v>-2.6808785529715773E-2</v>
      </c>
      <c r="G50" s="15">
        <v>2.1464646464646409E-2</v>
      </c>
      <c r="H50" s="15">
        <v>-0.39964317573594998</v>
      </c>
      <c r="I50" s="15">
        <v>0.17059418823189201</v>
      </c>
      <c r="J50" s="15">
        <v>4.1159326424870399E-2</v>
      </c>
      <c r="K50" s="15">
        <v>0.33274002722228002</v>
      </c>
      <c r="L50" s="15">
        <v>6.8907792695842393E-2</v>
      </c>
      <c r="M50" s="15">
        <v>-1.1661807580174899E-2</v>
      </c>
      <c r="N50" s="15">
        <v>3.0848329048843302E-2</v>
      </c>
      <c r="O50" s="15">
        <v>7.6302011825655214E-3</v>
      </c>
      <c r="P50" s="15">
        <v>2.7434842249657101E-2</v>
      </c>
      <c r="Q50" s="15">
        <v>3.0616008852821799E-2</v>
      </c>
      <c r="R50" s="15">
        <v>8.3489242282507106E-2</v>
      </c>
      <c r="S50" s="15">
        <v>-9.8416915753348877E-2</v>
      </c>
      <c r="T50" s="15">
        <v>-5.2714812862414417E-3</v>
      </c>
      <c r="U50" s="15">
        <v>-4.9800000000000001E-3</v>
      </c>
    </row>
    <row r="51" spans="1:21" x14ac:dyDescent="0.45">
      <c r="A51" s="4">
        <v>44592</v>
      </c>
      <c r="B51" s="15">
        <v>7.0626003210272806E-2</v>
      </c>
      <c r="C51" s="15">
        <v>2.8054151035720176E-2</v>
      </c>
      <c r="D51" s="15">
        <v>-0.13556203036344117</v>
      </c>
      <c r="E51" s="15">
        <v>-0.11467889908256879</v>
      </c>
      <c r="F51" s="15">
        <v>0.1770992366412214</v>
      </c>
      <c r="G51" s="15">
        <v>-0.10877626699629173</v>
      </c>
      <c r="H51" s="15">
        <v>0.1485884101040118</v>
      </c>
      <c r="I51" s="15">
        <v>-5.8416697542299598E-2</v>
      </c>
      <c r="J51" s="15">
        <v>2.6126714565643399E-2</v>
      </c>
      <c r="K51" s="15">
        <v>-0.23890329169612701</v>
      </c>
      <c r="L51" s="15">
        <v>-9.1065062953036804E-2</v>
      </c>
      <c r="M51" s="15">
        <v>8.6529006882989104E-2</v>
      </c>
      <c r="N51" s="15">
        <v>0.14048212801330001</v>
      </c>
      <c r="O51" s="15">
        <v>9.6194186394965575E-2</v>
      </c>
      <c r="P51" s="15">
        <v>1.6021361815754299E-2</v>
      </c>
      <c r="Q51" s="15">
        <v>-5.7504175614411797E-2</v>
      </c>
      <c r="R51" s="15">
        <v>4.0362616015540601E-2</v>
      </c>
      <c r="S51" s="15">
        <v>-0.37856090373280948</v>
      </c>
      <c r="T51" s="15">
        <v>0.14626391096979341</v>
      </c>
      <c r="U51" s="15">
        <v>0.11</v>
      </c>
    </row>
    <row r="52" spans="1:21" x14ac:dyDescent="0.45">
      <c r="A52" s="4">
        <v>44620</v>
      </c>
      <c r="B52" s="15">
        <v>0.24137931034482801</v>
      </c>
      <c r="C52" s="15">
        <v>7.8851340631445277E-2</v>
      </c>
      <c r="D52" s="15">
        <v>8.1426290580095761E-2</v>
      </c>
      <c r="E52" s="15">
        <v>2.2452504317789224E-2</v>
      </c>
      <c r="F52" s="15">
        <v>0.34889753566796378</v>
      </c>
      <c r="G52" s="15">
        <v>-0.19833564493758671</v>
      </c>
      <c r="H52" s="15">
        <v>-0.32341526520051744</v>
      </c>
      <c r="I52" s="15">
        <v>9.3844908208531294E-2</v>
      </c>
      <c r="J52" s="15">
        <v>1.1457670273711E-2</v>
      </c>
      <c r="K52" s="15">
        <v>-7.84475639966975E-3</v>
      </c>
      <c r="L52" s="15">
        <v>-3.3621177802944498E-2</v>
      </c>
      <c r="M52" s="15">
        <v>-2.8959276018099601E-2</v>
      </c>
      <c r="N52" s="15">
        <v>7.7947769662853703E-2</v>
      </c>
      <c r="O52" s="15">
        <v>-6.9163477310005494E-2</v>
      </c>
      <c r="P52" s="15">
        <v>2.09842736636854E-2</v>
      </c>
      <c r="Q52" s="15">
        <v>-0.14962025316455699</v>
      </c>
      <c r="R52" s="15">
        <v>-3.01609994046932E-2</v>
      </c>
      <c r="S52" s="15">
        <v>0.26951195415925699</v>
      </c>
      <c r="T52" s="15">
        <v>4.2885680916155522E-2</v>
      </c>
      <c r="U52" s="15">
        <v>0.23422999999999999</v>
      </c>
    </row>
    <row r="53" spans="1:21" x14ac:dyDescent="0.45">
      <c r="A53" s="4">
        <v>44651</v>
      </c>
      <c r="B53" s="15">
        <v>3.50241545893719E-2</v>
      </c>
      <c r="C53" s="15">
        <v>-4.3970588235294095E-2</v>
      </c>
      <c r="D53" s="15">
        <v>-2.2965879265092193E-3</v>
      </c>
      <c r="E53" s="15">
        <v>3.2094594594594517E-2</v>
      </c>
      <c r="F53" s="15">
        <v>9.6600673262907222E-2</v>
      </c>
      <c r="G53" s="15">
        <v>7.9584775086505299E-2</v>
      </c>
      <c r="H53" s="15">
        <v>-0.22562141491395793</v>
      </c>
      <c r="I53" s="15">
        <v>5.6431235711707398E-2</v>
      </c>
      <c r="J53" s="15">
        <v>1.9762612236327699E-2</v>
      </c>
      <c r="K53" s="15">
        <v>-0.38514357053682902</v>
      </c>
      <c r="L53" s="15">
        <v>0.115652237603457</v>
      </c>
      <c r="M53" s="15">
        <v>-7.08294501397949E-2</v>
      </c>
      <c r="N53" s="15">
        <v>0.23927842069435001</v>
      </c>
      <c r="O53" s="15">
        <v>0.19415737922524889</v>
      </c>
      <c r="P53" s="15">
        <v>-1.9455252918288E-2</v>
      </c>
      <c r="Q53" s="15">
        <v>1.66716284608515E-2</v>
      </c>
      <c r="R53" s="15">
        <v>4.4535283993115203E-2</v>
      </c>
      <c r="S53" s="15">
        <v>0.23735408560311289</v>
      </c>
      <c r="T53" s="15">
        <v>5.8165548098433995E-2</v>
      </c>
      <c r="U53" s="15">
        <v>0.26641999999999999</v>
      </c>
    </row>
    <row r="54" spans="1:21" x14ac:dyDescent="0.45">
      <c r="A54" s="4">
        <v>44680</v>
      </c>
      <c r="B54" s="15">
        <v>-9.4515752625437502E-2</v>
      </c>
      <c r="C54" s="15">
        <v>9.4447008152591883E-2</v>
      </c>
      <c r="D54" s="15">
        <v>-0.21407431765866491</v>
      </c>
      <c r="E54" s="15">
        <v>-4.2553191489361653E-2</v>
      </c>
      <c r="F54" s="15">
        <v>-3.5429583702392131E-3</v>
      </c>
      <c r="G54" s="15">
        <v>-0.25641025641025639</v>
      </c>
      <c r="H54" s="15">
        <v>-0.25432098765432098</v>
      </c>
      <c r="I54" s="15">
        <v>-9.0318906605922594E-2</v>
      </c>
      <c r="J54" s="15">
        <v>-5.50487574709028E-2</v>
      </c>
      <c r="K54" s="15">
        <v>-0.221319796954315</v>
      </c>
      <c r="L54" s="15">
        <v>-0.117741043950067</v>
      </c>
      <c r="M54" s="15">
        <v>-0.24072216649949901</v>
      </c>
      <c r="N54" s="15">
        <v>-0.14803625377643501</v>
      </c>
      <c r="O54" s="15">
        <v>-0.21925266023261569</v>
      </c>
      <c r="P54" s="15">
        <v>3.1746031746031599E-2</v>
      </c>
      <c r="Q54" s="15">
        <v>-0.156368960468521</v>
      </c>
      <c r="R54" s="15">
        <v>-4.2224510813594199E-2</v>
      </c>
      <c r="S54" s="15">
        <v>-0.36553459119496856</v>
      </c>
      <c r="T54" s="15">
        <v>-1.7336152219873169E-2</v>
      </c>
      <c r="U54" s="15">
        <v>-2.3050000000000001E-2</v>
      </c>
    </row>
    <row r="55" spans="1:21" x14ac:dyDescent="0.45">
      <c r="A55" s="4">
        <v>44712</v>
      </c>
      <c r="B55" s="15">
        <v>9.1494845360824598E-2</v>
      </c>
      <c r="C55" s="15">
        <v>0.20543709508177788</v>
      </c>
      <c r="D55" s="15">
        <v>-6.27615062761544E-4</v>
      </c>
      <c r="E55" s="15">
        <v>-0.16923076923076918</v>
      </c>
      <c r="F55" s="15">
        <v>0.1982222222222223</v>
      </c>
      <c r="G55" s="15">
        <v>0.2262931034482758</v>
      </c>
      <c r="H55" s="15">
        <v>9.27152317880795E-2</v>
      </c>
      <c r="I55" s="15">
        <v>2.2572064528676199E-2</v>
      </c>
      <c r="J55" s="15">
        <v>3.5619174434087901E-2</v>
      </c>
      <c r="K55" s="15">
        <v>0.112342459800087</v>
      </c>
      <c r="L55" s="15">
        <v>-4.1794737236674401E-2</v>
      </c>
      <c r="M55" s="15">
        <v>0.10700132100396299</v>
      </c>
      <c r="N55" s="15">
        <v>0.16551226386072401</v>
      </c>
      <c r="O55" s="15">
        <v>0.16830427892234545</v>
      </c>
      <c r="P55" s="15">
        <v>5.9276591595983197E-2</v>
      </c>
      <c r="Q55" s="15">
        <v>-0.159666782367234</v>
      </c>
      <c r="R55" s="15">
        <v>6.1884794265233002E-2</v>
      </c>
      <c r="S55" s="15">
        <v>0.16415543219666917</v>
      </c>
      <c r="T55" s="15">
        <v>0.18803786574870918</v>
      </c>
      <c r="U55" s="15">
        <v>-0.40708</v>
      </c>
    </row>
    <row r="56" spans="1:21" x14ac:dyDescent="0.45">
      <c r="A56" s="4">
        <v>44742</v>
      </c>
      <c r="B56" s="15">
        <v>-0.19480519480519501</v>
      </c>
      <c r="C56" s="15">
        <v>-0.18752974773917186</v>
      </c>
      <c r="D56" s="15">
        <v>-8.582792547624063E-3</v>
      </c>
      <c r="E56" s="15">
        <v>-0.19547325102880664</v>
      </c>
      <c r="F56" s="15">
        <v>-0.1868593202050175</v>
      </c>
      <c r="G56" s="15">
        <v>-0.18717047451669599</v>
      </c>
      <c r="H56" s="15">
        <v>0.10303030303030303</v>
      </c>
      <c r="I56" s="15">
        <v>-2.45730433714215E-2</v>
      </c>
      <c r="J56" s="15">
        <v>-9.0803299318775302E-2</v>
      </c>
      <c r="K56" s="15">
        <v>-0.16409454971674201</v>
      </c>
      <c r="L56" s="15">
        <v>-6.5759104956382305E-2</v>
      </c>
      <c r="M56" s="15">
        <v>0.110978520286396</v>
      </c>
      <c r="N56" s="15">
        <v>-0.19760978321289599</v>
      </c>
      <c r="O56" s="15">
        <v>-0.25410588326486316</v>
      </c>
      <c r="P56" s="15">
        <v>-4.8780487804878099E-2</v>
      </c>
      <c r="Q56" s="15">
        <v>-8.0751755472945094E-2</v>
      </c>
      <c r="R56" s="15">
        <v>1.83374083129584E-3</v>
      </c>
      <c r="S56" s="15">
        <v>-0.22411444141689374</v>
      </c>
      <c r="T56" s="15">
        <v>-0.23976819992756249</v>
      </c>
      <c r="U56" s="15">
        <v>-0.31591999999999998</v>
      </c>
    </row>
    <row r="57" spans="1:21" x14ac:dyDescent="0.45">
      <c r="A57" s="4">
        <v>44771</v>
      </c>
      <c r="B57" s="15">
        <v>9.5307917888563007E-2</v>
      </c>
      <c r="C57" s="15">
        <v>0.19156414762741658</v>
      </c>
      <c r="D57" s="15">
        <v>2.4704391891891886E-2</v>
      </c>
      <c r="E57" s="15">
        <v>7.9283887468030612E-2</v>
      </c>
      <c r="F57" s="15">
        <v>1.9301470588235281E-2</v>
      </c>
      <c r="G57" s="15">
        <v>0.13621621621621616</v>
      </c>
      <c r="H57" s="15">
        <v>-0.17307692307692302</v>
      </c>
      <c r="I57" s="15">
        <v>7.8725280261997793E-2</v>
      </c>
      <c r="J57" s="15">
        <v>0.11926273942898399</v>
      </c>
      <c r="K57" s="15">
        <v>0.133676092544987</v>
      </c>
      <c r="L57" s="15">
        <v>0.157223071945927</v>
      </c>
      <c r="M57" s="15">
        <v>1.6111707841031098E-2</v>
      </c>
      <c r="N57" s="15">
        <v>-0.110148943540007</v>
      </c>
      <c r="O57" s="15">
        <v>-8.0704328686720395E-3</v>
      </c>
      <c r="P57" s="15">
        <v>-7.0512820512820498E-2</v>
      </c>
      <c r="Q57" s="15">
        <v>3.9541676027858901E-2</v>
      </c>
      <c r="R57" s="15">
        <v>4.8606874110229903E-2</v>
      </c>
      <c r="S57" s="15">
        <v>0.25592625109745404</v>
      </c>
      <c r="T57" s="15">
        <v>0.14959504525964751</v>
      </c>
      <c r="U57" s="15">
        <v>0.15636</v>
      </c>
    </row>
    <row r="58" spans="1:21" x14ac:dyDescent="0.45">
      <c r="A58" s="4">
        <v>44804</v>
      </c>
      <c r="B58" s="15">
        <v>-4.8192771084337303E-2</v>
      </c>
      <c r="C58" s="15">
        <v>-7.5774190769545946E-2</v>
      </c>
      <c r="D58" s="15">
        <v>-3.3587471667010038E-2</v>
      </c>
      <c r="E58" s="15">
        <v>-0.13507109004739337</v>
      </c>
      <c r="F58" s="15">
        <v>-3.5166816952209135E-2</v>
      </c>
      <c r="G58" s="15">
        <v>-4.8525214081826862E-2</v>
      </c>
      <c r="H58" s="15">
        <v>0.93023255813953498</v>
      </c>
      <c r="I58" s="15">
        <v>-0.121804633528587</v>
      </c>
      <c r="J58" s="15">
        <v>-6.4255731352922202E-2</v>
      </c>
      <c r="K58" s="15">
        <v>-0.173572459286745</v>
      </c>
      <c r="L58" s="15">
        <v>-7.0085782077021798E-3</v>
      </c>
      <c r="M58" s="15">
        <v>1.90274841437632E-2</v>
      </c>
      <c r="N58" s="15">
        <v>-9.4456053708739107E-3</v>
      </c>
      <c r="O58" s="15">
        <v>-2.2928994082840215E-2</v>
      </c>
      <c r="P58" s="15">
        <v>-0.15427235534775</v>
      </c>
      <c r="Q58" s="15">
        <v>1.55608385563E-2</v>
      </c>
      <c r="R58" s="15">
        <v>6.4927810516395706E-2</v>
      </c>
      <c r="S58" s="15">
        <v>0.20325061167423986</v>
      </c>
      <c r="T58" s="15">
        <v>-6.5438952182663712E-3</v>
      </c>
      <c r="U58" s="15">
        <v>-6.2899999999999996E-3</v>
      </c>
    </row>
    <row r="59" spans="1:21" x14ac:dyDescent="0.45">
      <c r="A59" s="4">
        <v>44834</v>
      </c>
      <c r="B59" s="15">
        <v>-1.9690576652602002E-2</v>
      </c>
      <c r="C59" s="15">
        <v>-0.11635475996745326</v>
      </c>
      <c r="D59" s="15">
        <v>-0.1294243070362473</v>
      </c>
      <c r="E59" s="15">
        <v>-0.28767123287671237</v>
      </c>
      <c r="F59" s="15">
        <v>-0.1163763191809587</v>
      </c>
      <c r="G59" s="15">
        <v>-0.41700000000000004</v>
      </c>
      <c r="H59" s="15">
        <v>-5.1635111876076056E-3</v>
      </c>
      <c r="I59" s="15">
        <v>-6.1749799946652403E-2</v>
      </c>
      <c r="J59" s="15">
        <v>-0.17375038825283201</v>
      </c>
      <c r="K59" s="15">
        <v>-0.10950361686206</v>
      </c>
      <c r="L59" s="15">
        <v>-5.35602690879683E-2</v>
      </c>
      <c r="M59" s="15">
        <v>-0.21058091286307101</v>
      </c>
      <c r="N59" s="15">
        <v>-0.170229612034838</v>
      </c>
      <c r="O59" s="15">
        <v>-0.17690983164619478</v>
      </c>
      <c r="P59" s="15">
        <v>-5.5921052631579003E-2</v>
      </c>
      <c r="Q59" s="15">
        <v>-0.20387316450308601</v>
      </c>
      <c r="R59" s="15">
        <v>-0.119165293794618</v>
      </c>
      <c r="S59" s="15">
        <v>-3.442265795206978E-2</v>
      </c>
      <c r="T59" s="15">
        <v>-0.1700879765395894</v>
      </c>
      <c r="U59" s="15">
        <v>-0.18987000000000001</v>
      </c>
    </row>
    <row r="60" spans="1:21" x14ac:dyDescent="0.45">
      <c r="A60" s="4">
        <v>44865</v>
      </c>
      <c r="B60" s="15">
        <v>0.38450502152080301</v>
      </c>
      <c r="C60" s="15">
        <v>0.1289134438305708</v>
      </c>
      <c r="D60" s="15">
        <v>0.19568944403624777</v>
      </c>
      <c r="E60" s="15">
        <v>-0.12307692307692308</v>
      </c>
      <c r="F60" s="15">
        <v>0.45512820512820507</v>
      </c>
      <c r="G60" s="15">
        <v>0.13379073756432236</v>
      </c>
      <c r="H60" s="15">
        <v>-0.58304498269896188</v>
      </c>
      <c r="I60" s="15">
        <v>0.204690831556503</v>
      </c>
      <c r="J60" s="15">
        <v>6.9408740359897095E-2</v>
      </c>
      <c r="K60" s="15">
        <v>0.12969187675070001</v>
      </c>
      <c r="L60" s="15">
        <v>6.2023923479563203E-2</v>
      </c>
      <c r="M60" s="15">
        <v>0.21550591327201099</v>
      </c>
      <c r="N60" s="15">
        <v>0.31965648854961798</v>
      </c>
      <c r="O60" s="15">
        <v>-2.1355617455895981E-2</v>
      </c>
      <c r="P60" s="15">
        <v>4.3554006968641097E-2</v>
      </c>
      <c r="Q60" s="15">
        <v>0.201550387596899</v>
      </c>
      <c r="R60" s="15">
        <v>8.6450540315877095E-2</v>
      </c>
      <c r="S60" s="15">
        <v>-9.0252707581227498E-2</v>
      </c>
      <c r="T60" s="15">
        <v>0.29631499242806658</v>
      </c>
      <c r="U60" s="15">
        <v>8.5940000000000003E-2</v>
      </c>
    </row>
    <row r="61" spans="1:21" x14ac:dyDescent="0.45">
      <c r="A61" s="4">
        <v>44895</v>
      </c>
      <c r="B61" s="15">
        <v>-0.14678574771629799</v>
      </c>
      <c r="C61" s="15">
        <v>-5.5678845853219916E-2</v>
      </c>
      <c r="D61" s="15">
        <v>-0.22101597705858256</v>
      </c>
      <c r="E61" s="15">
        <v>-5.2631578947368474E-2</v>
      </c>
      <c r="F61" s="15">
        <v>-0.19456681350954474</v>
      </c>
      <c r="G61" s="15">
        <v>-0.31013615733736766</v>
      </c>
      <c r="H61" s="15">
        <v>-0.57676348547717837</v>
      </c>
      <c r="I61" s="15">
        <v>2.9974030574900602E-2</v>
      </c>
      <c r="J61" s="15">
        <v>1.2419871794871799E-2</v>
      </c>
      <c r="K61" s="15">
        <v>0.190428961071163</v>
      </c>
      <c r="L61" s="15">
        <v>-7.3073516386182903E-3</v>
      </c>
      <c r="M61" s="15">
        <v>0.18810810810810799</v>
      </c>
      <c r="N61" s="15">
        <v>5.6016362002855098E-2</v>
      </c>
      <c r="O61" s="15">
        <v>8.5388994307400434E-2</v>
      </c>
      <c r="P61" s="15">
        <v>6.6456326293057297E-2</v>
      </c>
      <c r="Q61" s="15">
        <v>-0.31701890989988901</v>
      </c>
      <c r="R61" s="15">
        <v>4.90491187477098E-2</v>
      </c>
      <c r="S61" s="15">
        <v>8.3333333333333259E-2</v>
      </c>
      <c r="T61" s="15">
        <v>1.9437830922852672E-2</v>
      </c>
      <c r="U61" s="15">
        <v>0.33094000000000001</v>
      </c>
    </row>
    <row r="62" spans="1:21" x14ac:dyDescent="0.45">
      <c r="A62" s="4">
        <v>44925</v>
      </c>
      <c r="B62" s="15">
        <v>0.128205128205128</v>
      </c>
      <c r="C62" s="15">
        <v>-2.7916544225683237E-2</v>
      </c>
      <c r="D62" s="15">
        <v>-0.14383381540888773</v>
      </c>
      <c r="E62" s="15">
        <v>7.870370370370372E-2</v>
      </c>
      <c r="F62" s="15">
        <v>-8.5365522473044186E-2</v>
      </c>
      <c r="G62" s="15">
        <v>8.7719298245614308E-3</v>
      </c>
      <c r="H62" s="15">
        <v>-0.18627450980392157</v>
      </c>
      <c r="I62" s="15">
        <v>8.3879122141790104E-3</v>
      </c>
      <c r="J62" s="15">
        <v>-0.138021679296434</v>
      </c>
      <c r="K62" s="15">
        <v>-0.123515934180379</v>
      </c>
      <c r="L62" s="15">
        <v>-7.2793516246561094E-2</v>
      </c>
      <c r="M62" s="15">
        <v>-0.237488626023658</v>
      </c>
      <c r="N62" s="15">
        <v>1.75740868366643E-2</v>
      </c>
      <c r="O62" s="15">
        <v>-0.13355258129848291</v>
      </c>
      <c r="P62" s="15">
        <v>-0.121642969984202</v>
      </c>
      <c r="Q62" s="15">
        <v>0.104885993485342</v>
      </c>
      <c r="R62" s="15">
        <v>7.3680351906158403E-2</v>
      </c>
      <c r="S62" s="15">
        <v>-0.12789987789987789</v>
      </c>
      <c r="T62" s="15">
        <v>-0.10084355828220859</v>
      </c>
      <c r="U62" s="15">
        <v>0.1027</v>
      </c>
    </row>
    <row r="66" spans="1:6" x14ac:dyDescent="0.45">
      <c r="B66" t="s">
        <v>40</v>
      </c>
      <c r="E66" t="s">
        <v>84</v>
      </c>
    </row>
    <row r="67" spans="1:6" x14ac:dyDescent="0.45">
      <c r="A67" cm="1">
        <f t="array" ref="A67:A86">TRANSPOSE(B2:U2)</f>
        <v>0</v>
      </c>
      <c r="B67" s="14">
        <f>AVERAGE(wttr_ret)</f>
        <v>6.4287166823963982E-3</v>
      </c>
      <c r="C67" t="str">
        <f ca="1">_xlfn.FORMULATEXT(B67)</f>
        <v>=AVERAGE(wttr_ret)</v>
      </c>
      <c r="E67" s="14">
        <f>_xlfn.STDEV.S(wttr_ret)</f>
        <v>0.18717667601339422</v>
      </c>
      <c r="F67" t="str">
        <f ca="1">_xlfn.FORMULATEXT(E67)</f>
        <v>=STDEV.S(wttr_ret)</v>
      </c>
    </row>
    <row r="68" spans="1:6" x14ac:dyDescent="0.45">
      <c r="A68">
        <v>0</v>
      </c>
      <c r="B68" s="14">
        <f>AVERAGE(altm_ret)</f>
        <v>2.5101501203561208E-2</v>
      </c>
      <c r="C68" t="str">
        <f t="shared" ref="C68:C85" ca="1" si="2">_xlfn.FORMULATEXT(B68)</f>
        <v>=AVERAGE(altm_ret)</v>
      </c>
      <c r="E68" s="14">
        <f>_xlfn.STDEV.S(altm_ret)</f>
        <v>0.42538483695384965</v>
      </c>
      <c r="F68" t="str">
        <f t="shared" ref="F68:F85" ca="1" si="3">_xlfn.FORMULATEXT(E68)</f>
        <v>=STDEV.S(altm_ret)</v>
      </c>
    </row>
    <row r="69" spans="1:6" x14ac:dyDescent="0.45">
      <c r="A69">
        <v>0</v>
      </c>
      <c r="B69" s="14">
        <f>AVERAGE(appn_ret)</f>
        <v>2.1481230664745794E-2</v>
      </c>
      <c r="C69" t="str">
        <f t="shared" ca="1" si="2"/>
        <v>=AVERAGE(appn_ret)</v>
      </c>
      <c r="E69" s="14">
        <f>_xlfn.STDEV.S(appn_ret)</f>
        <v>0.23406855261526216</v>
      </c>
      <c r="F69" t="str">
        <f t="shared" ca="1" si="3"/>
        <v>=STDEV.S(appn_ret)</v>
      </c>
    </row>
    <row r="70" spans="1:6" x14ac:dyDescent="0.45">
      <c r="A70">
        <v>0</v>
      </c>
      <c r="B70" s="14">
        <f>AVERAGE(fph_ret)</f>
        <v>-2.1690230530560583E-2</v>
      </c>
      <c r="C70" t="str">
        <f t="shared" ca="1" si="2"/>
        <v>=AVERAGE(fph_ret)</v>
      </c>
      <c r="E70" s="14">
        <f>_xlfn.STDEV.S(fph_ret)</f>
        <v>0.12412587385263583</v>
      </c>
      <c r="F70" t="str">
        <f t="shared" ca="1" si="3"/>
        <v>=STDEV.S(fph_ret)</v>
      </c>
    </row>
    <row r="71" spans="1:6" x14ac:dyDescent="0.45">
      <c r="A71">
        <v>0</v>
      </c>
      <c r="B71" s="14">
        <f>AVERAGE(soi_ret)</f>
        <v>4.4517199083304367E-3</v>
      </c>
      <c r="C71" t="str">
        <f t="shared" ca="1" si="2"/>
        <v>=AVERAGE(soi_ret)</v>
      </c>
      <c r="E71" s="14">
        <f>_xlfn.STDEV.S(soi_ret)</f>
        <v>0.16708162826030903</v>
      </c>
      <c r="F71" t="str">
        <f t="shared" ca="1" si="3"/>
        <v>=STDEV.S(soi_ret)</v>
      </c>
    </row>
    <row r="72" spans="1:6" x14ac:dyDescent="0.45">
      <c r="A72">
        <v>0</v>
      </c>
      <c r="B72" s="14">
        <f>AVERAGE(atus_ret)</f>
        <v>-1.4041042732246498E-2</v>
      </c>
      <c r="C72" t="str">
        <f t="shared" ca="1" si="2"/>
        <v>=AVERAGE(atus_ret)</v>
      </c>
      <c r="E72" s="14">
        <f>_xlfn.STDEV.S(atus_ret)</f>
        <v>0.13172767016477693</v>
      </c>
      <c r="F72" t="str">
        <f t="shared" ca="1" si="3"/>
        <v>=STDEV.S(atus_ret)</v>
      </c>
    </row>
    <row r="73" spans="1:6" x14ac:dyDescent="0.45">
      <c r="A73">
        <v>0</v>
      </c>
      <c r="B73" s="14">
        <f>AVERAGE(aprn_ret)</f>
        <v>1.0517368382941017E-2</v>
      </c>
      <c r="C73" t="str">
        <f t="shared" ca="1" si="2"/>
        <v>=AVERAGE(aprn_ret)</v>
      </c>
      <c r="E73" s="14">
        <f>_xlfn.STDEV.S(aprn_ret)</f>
        <v>0.53031737756071273</v>
      </c>
      <c r="F73" t="str">
        <f t="shared" ca="1" si="3"/>
        <v>=STDEV.S(aprn_ret)</v>
      </c>
    </row>
    <row r="74" spans="1:6" x14ac:dyDescent="0.45">
      <c r="A74">
        <v>0</v>
      </c>
      <c r="B74" s="14">
        <f>AVERAGE(mog_ret)</f>
        <v>6.1856093359222977E-3</v>
      </c>
      <c r="C74" t="str">
        <f t="shared" ca="1" si="2"/>
        <v>=AVERAGE(mog_ret)</v>
      </c>
      <c r="E74" s="14">
        <f>_xlfn.STDEV.S(mog_ret)</f>
        <v>9.9750731501117323E-2</v>
      </c>
      <c r="F74" t="str">
        <f t="shared" ca="1" si="3"/>
        <v>=STDEV.S(mog_ret)</v>
      </c>
    </row>
    <row r="75" spans="1:6" x14ac:dyDescent="0.45">
      <c r="A75">
        <v>0</v>
      </c>
      <c r="B75" s="14">
        <f>AVERAGE(bxmt_ret)</f>
        <v>5.0585887956674565E-3</v>
      </c>
      <c r="C75" t="str">
        <f t="shared" ca="1" si="2"/>
        <v>=AVERAGE(bxmt_ret)</v>
      </c>
      <c r="E75" s="14">
        <f>_xlfn.STDEV.S(bxmt_ret)</f>
        <v>9.1583488593780737E-2</v>
      </c>
      <c r="F75" t="str">
        <f t="shared" ca="1" si="3"/>
        <v>=STDEV.S(bxmt_ret)</v>
      </c>
    </row>
    <row r="76" spans="1:6" x14ac:dyDescent="0.45">
      <c r="A76">
        <v>0</v>
      </c>
      <c r="B76" s="14">
        <f>AVERAGE(hov_ret)</f>
        <v>3.343544450409635E-2</v>
      </c>
      <c r="C76" t="str">
        <f t="shared" ca="1" si="2"/>
        <v>=AVERAGE(hov_ret)</v>
      </c>
      <c r="E76" s="14">
        <f>_xlfn.STDEV.S(hov_ret)</f>
        <v>0.31724890138039707</v>
      </c>
      <c r="F76" t="str">
        <f t="shared" ca="1" si="3"/>
        <v>=STDEV.S(hov_ret)</v>
      </c>
    </row>
    <row r="77" spans="1:6" x14ac:dyDescent="0.45">
      <c r="A77">
        <v>0</v>
      </c>
      <c r="B77" s="14">
        <f>AVERAGE(wso_ret)</f>
        <v>1.2078540785082253E-2</v>
      </c>
      <c r="C77" t="str">
        <f t="shared" ca="1" si="2"/>
        <v>=AVERAGE(wso_ret)</v>
      </c>
      <c r="E77" s="14">
        <f>_xlfn.STDEV.S(wso_ret)</f>
        <v>7.775779205845304E-2</v>
      </c>
      <c r="F77" t="str">
        <f t="shared" ca="1" si="3"/>
        <v>=STDEV.S(wso_ret)</v>
      </c>
    </row>
    <row r="78" spans="1:6" x14ac:dyDescent="0.45">
      <c r="A78">
        <v>0</v>
      </c>
      <c r="B78" s="14">
        <f>AVERAGE(voxx_ret)</f>
        <v>1.9502351386446092E-2</v>
      </c>
      <c r="C78" t="str">
        <f t="shared" ca="1" si="2"/>
        <v>=AVERAGE(voxx_ret)</v>
      </c>
      <c r="E78" s="14">
        <f>_xlfn.STDEV.S(voxx_ret)</f>
        <v>0.17123296536888546</v>
      </c>
      <c r="F78" t="str">
        <f t="shared" ca="1" si="3"/>
        <v>=STDEV.S(voxx_ret)</v>
      </c>
    </row>
    <row r="79" spans="1:6" x14ac:dyDescent="0.45">
      <c r="A79">
        <v>0</v>
      </c>
      <c r="B79" s="14">
        <f>AVERAGE(bkr_ret)</f>
        <v>1.191655732383828E-2</v>
      </c>
      <c r="C79" t="str">
        <f t="shared" ca="1" si="2"/>
        <v>=AVERAGE(bkr_ret)</v>
      </c>
      <c r="E79" s="14">
        <f>_xlfn.STDEV.S(bkr_ret)</f>
        <v>0.14654847633063472</v>
      </c>
      <c r="F79" t="str">
        <f t="shared" ca="1" si="3"/>
        <v>=STDEV.S(bkr_ret)</v>
      </c>
    </row>
    <row r="80" spans="1:6" x14ac:dyDescent="0.45">
      <c r="A80">
        <v>0</v>
      </c>
      <c r="B80" s="14">
        <f>AVERAGE(viaca_ret)</f>
        <v>-7.2014476881095135E-3</v>
      </c>
      <c r="C80" t="str">
        <f t="shared" ca="1" si="2"/>
        <v>=AVERAGE(viaca_ret)</v>
      </c>
      <c r="E80" s="14">
        <f>_xlfn.STDEV.S(viaca_ret)</f>
        <v>0.13363386679934136</v>
      </c>
      <c r="F80" t="str">
        <f t="shared" ca="1" si="3"/>
        <v>=STDEV.S(viaca_ret)</v>
      </c>
    </row>
    <row r="81" spans="1:6" x14ac:dyDescent="0.45">
      <c r="A81">
        <v>0</v>
      </c>
      <c r="B81" s="14">
        <f>AVERAGE(crd_ret)</f>
        <v>1.2221727819645953E-4</v>
      </c>
      <c r="C81" t="str">
        <f t="shared" ca="1" si="2"/>
        <v>=AVERAGE(crd_ret)</v>
      </c>
      <c r="E81" s="14">
        <f>_xlfn.STDEV.S(crd_ret)</f>
        <v>0.1004237695620727</v>
      </c>
      <c r="F81" t="str">
        <f t="shared" ca="1" si="3"/>
        <v>=STDEV.S(crd_ret)</v>
      </c>
    </row>
    <row r="82" spans="1:6" x14ac:dyDescent="0.45">
      <c r="A82">
        <v>0</v>
      </c>
      <c r="B82" s="14">
        <f>AVERAGE(tcx_ret)</f>
        <v>-5.5399429389551783E-3</v>
      </c>
      <c r="C82" t="str">
        <f t="shared" ca="1" si="2"/>
        <v>=AVERAGE(tcx_ret)</v>
      </c>
      <c r="E82" s="14">
        <f>_xlfn.STDEV.S(tcx_ret)</f>
        <v>0.10970524982064797</v>
      </c>
      <c r="F82" t="str">
        <f t="shared" ca="1" si="3"/>
        <v>=STDEV.S(tcx_ret)</v>
      </c>
    </row>
    <row r="83" spans="1:6" x14ac:dyDescent="0.45">
      <c r="A83">
        <v>0</v>
      </c>
      <c r="B83" s="14">
        <f>AVERAGE(artna_ret)</f>
        <v>1.0621118426670817E-2</v>
      </c>
      <c r="C83" t="str">
        <f t="shared" ca="1" si="2"/>
        <v>=AVERAGE(artna_ret)</v>
      </c>
      <c r="E83" s="14">
        <f>_xlfn.STDEV.S(artna_ret)</f>
        <v>5.4388056955234479E-2</v>
      </c>
      <c r="F83" t="str">
        <f t="shared" ca="1" si="3"/>
        <v>=STDEV.S(artna_ret)</v>
      </c>
    </row>
    <row r="84" spans="1:6" x14ac:dyDescent="0.45">
      <c r="A84">
        <v>0</v>
      </c>
      <c r="B84" s="14">
        <f>AVERAGE(amrc_ret)</f>
        <v>4.5463239663530421E-2</v>
      </c>
      <c r="C84" t="str">
        <f t="shared" ca="1" si="2"/>
        <v>=AVERAGE(amrc_ret)</v>
      </c>
      <c r="E84" s="14">
        <f>_xlfn.STDEV.S(amrc_ret)</f>
        <v>0.16640001437643182</v>
      </c>
      <c r="F84" t="str">
        <f t="shared" ca="1" si="3"/>
        <v>=STDEV.S(amrc_ret)</v>
      </c>
    </row>
    <row r="85" spans="1:6" x14ac:dyDescent="0.45">
      <c r="A85">
        <v>0</v>
      </c>
      <c r="B85" s="14">
        <f>AVERAGE(mgy_ret)</f>
        <v>2.9842935107844585E-2</v>
      </c>
      <c r="C85" t="str">
        <f t="shared" ca="1" si="2"/>
        <v>=AVERAGE(mgy_ret)</v>
      </c>
      <c r="E85" s="14">
        <f>_xlfn.STDEV.S(mgy_ret)</f>
        <v>0.17450059616953006</v>
      </c>
      <c r="F85" t="str">
        <f t="shared" ca="1" si="3"/>
        <v>=STDEV.S(mgy_ret)</v>
      </c>
    </row>
    <row r="86" spans="1:6" x14ac:dyDescent="0.45">
      <c r="A86">
        <v>0</v>
      </c>
      <c r="B86" s="14">
        <f>AVERAGE(quad_ret)</f>
        <v>-5.7899999999999824E-4</v>
      </c>
      <c r="C86" t="str">
        <f t="shared" ref="C86" ca="1" si="4">_xlfn.FORMULATEXT(B86)</f>
        <v>=AVERAGE(quad_ret)</v>
      </c>
      <c r="E86" s="14">
        <f>_xlfn.STDEV.S(quad_ret)</f>
        <v>0.21061604711103557</v>
      </c>
      <c r="F86" t="str">
        <f t="shared" ref="F86" ca="1" si="5">_xlfn.FORMULATEXT(E86)</f>
        <v>=STDEV.S(quad_ret)</v>
      </c>
    </row>
  </sheetData>
  <phoneticPr fontId="6" type="noConversion"/>
  <dataValidations count="4">
    <dataValidation allowBlank="1" showInputMessage="1" showErrorMessage="1" promptTitle="Information" prompt="EagleClaw Midstream and Altus Midstream merged in February 2022 in an all-stock business combination creating Kinetik — the largest publicly traded, fully integrated midstream company in the Delaware Basin._x000a__x000a_" sqref="C2:C62" xr:uid="{911A056C-7135-BE42-9390-C4DAF88BEA73}"/>
    <dataValidation allowBlank="1" showInputMessage="1" showErrorMessage="1" promptTitle="Information" prompt="ViacomCBS today announced that the global media company will become Paramount Global (referred to as “Paramount”), effective February 16._x000a__x000a_" sqref="O2:O62" xr:uid="{9A405AAB-B50C-4848-806F-A5E6E58EAD48}"/>
    <dataValidation allowBlank="1" showInputMessage="1" showErrorMessage="1" promptTitle="Information" prompt="Their symbol has changed in the middle of selected years_x000a_" sqref="N3:N62" xr:uid="{8FB0BB0F-7AB0-894F-9F6D-BCF075D33913}"/>
    <dataValidation allowBlank="1" showInputMessage="1" showErrorMessage="1" promptTitle="Info" prompt="New one is added since 16755 was clashed_x000a_" sqref="U2:U62" xr:uid="{1D08A0DF-6D28-4735-9CAF-52D802777B4A}"/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CA668-EFFB-4784-9096-D16C9EE22D1D}">
  <sheetPr codeName="Sheet2"/>
  <dimension ref="A1:V117"/>
  <sheetViews>
    <sheetView topLeftCell="A14" zoomScale="40" zoomScaleNormal="40" workbookViewId="0">
      <selection activeCell="B113" sqref="B113"/>
    </sheetView>
  </sheetViews>
  <sheetFormatPr defaultRowHeight="14.25" x14ac:dyDescent="0.45"/>
  <cols>
    <col min="1" max="1" width="21.9296875" bestFit="1" customWidth="1"/>
    <col min="3" max="3" width="14.06640625" bestFit="1" customWidth="1"/>
  </cols>
  <sheetData>
    <row r="1" spans="1:21" ht="25.5" x14ac:dyDescent="0.75">
      <c r="A1" s="21" t="s">
        <v>85</v>
      </c>
    </row>
    <row r="2" spans="1:21" ht="18" x14ac:dyDescent="0.55000000000000004">
      <c r="A2" s="12"/>
      <c r="B2" s="13" t="s">
        <v>63</v>
      </c>
      <c r="C2" s="13" t="s">
        <v>64</v>
      </c>
      <c r="D2" s="13" t="s">
        <v>65</v>
      </c>
      <c r="E2" s="13" t="s">
        <v>66</v>
      </c>
      <c r="F2" s="13" t="s">
        <v>67</v>
      </c>
      <c r="G2" s="13" t="s">
        <v>68</v>
      </c>
      <c r="H2" s="13" t="s">
        <v>69</v>
      </c>
      <c r="I2" s="13" t="s">
        <v>70</v>
      </c>
      <c r="J2" s="13" t="s">
        <v>71</v>
      </c>
      <c r="K2" s="13" t="s">
        <v>72</v>
      </c>
      <c r="L2" s="13" t="s">
        <v>73</v>
      </c>
      <c r="M2" s="13" t="s">
        <v>74</v>
      </c>
      <c r="N2" s="13" t="s">
        <v>75</v>
      </c>
      <c r="O2" s="13" t="s">
        <v>76</v>
      </c>
      <c r="P2" s="13" t="s">
        <v>77</v>
      </c>
      <c r="Q2" s="13" t="s">
        <v>78</v>
      </c>
      <c r="R2" s="13" t="s">
        <v>79</v>
      </c>
      <c r="S2" s="13" t="s">
        <v>81</v>
      </c>
      <c r="T2" s="13" t="s">
        <v>82</v>
      </c>
      <c r="U2" s="13" t="s">
        <v>111</v>
      </c>
    </row>
    <row r="3" spans="1:21" ht="18" x14ac:dyDescent="0.55000000000000004">
      <c r="A3" s="13" t="s">
        <v>63</v>
      </c>
      <c r="B3" s="11">
        <f ca="1">_xlfn.COVARIANCE.S(INDIRECT($A3),INDIRECT(B$2))</f>
        <v>3.5035108043423135E-2</v>
      </c>
      <c r="C3" s="11">
        <f t="shared" ref="C3:T17" ca="1" si="0">_xlfn.COVARIANCE.S(INDIRECT($A3),INDIRECT(C$2))</f>
        <v>3.2589277662218599E-2</v>
      </c>
      <c r="D3" s="11">
        <f t="shared" ca="1" si="0"/>
        <v>1.463887671591115E-2</v>
      </c>
      <c r="E3" s="11">
        <f t="shared" ca="1" si="0"/>
        <v>9.6693590567332784E-3</v>
      </c>
      <c r="F3" s="11">
        <f t="shared" ca="1" si="0"/>
        <v>2.2380623097177255E-2</v>
      </c>
      <c r="G3" s="11">
        <f t="shared" ca="1" si="0"/>
        <v>8.1707131867894099E-3</v>
      </c>
      <c r="H3" s="11">
        <f t="shared" ca="1" si="0"/>
        <v>-2.0479264341044894E-2</v>
      </c>
      <c r="I3" s="11">
        <f t="shared" ca="1" si="0"/>
        <v>9.4469631953722957E-3</v>
      </c>
      <c r="J3" s="11">
        <f t="shared" ca="1" si="0"/>
        <v>9.7783467719911744E-3</v>
      </c>
      <c r="K3" s="11">
        <f t="shared" ca="1" si="0"/>
        <v>1.3610616704828733E-2</v>
      </c>
      <c r="L3" s="11">
        <f t="shared" ca="1" si="0"/>
        <v>2.7107465545401768E-3</v>
      </c>
      <c r="M3" s="11">
        <f t="shared" ca="1" si="0"/>
        <v>1.1513939639000687E-2</v>
      </c>
      <c r="N3" s="11">
        <f t="shared" ca="1" si="0"/>
        <v>1.9867343890393949E-2</v>
      </c>
      <c r="O3" s="11">
        <f t="shared" ca="1" si="0"/>
        <v>1.4355117294579615E-2</v>
      </c>
      <c r="P3" s="11">
        <f t="shared" ca="1" si="0"/>
        <v>3.2940991617603759E-3</v>
      </c>
      <c r="Q3" s="11">
        <f t="shared" ca="1" si="0"/>
        <v>7.3890836197912065E-3</v>
      </c>
      <c r="R3" s="11">
        <f t="shared" ca="1" si="0"/>
        <v>5.8608907997588825E-4</v>
      </c>
      <c r="S3" s="11">
        <f t="shared" ca="1" si="0"/>
        <v>5.9809318383099181E-3</v>
      </c>
      <c r="T3" s="11">
        <f t="shared" ca="1" si="0"/>
        <v>2.3128196157254741E-2</v>
      </c>
      <c r="U3" s="11">
        <f t="shared" ref="U3:U21" ca="1" si="1">_xlfn.COVARIANCE.S(INDIRECT($A3),INDIRECT(U$2))</f>
        <v>1.7043925391789568E-2</v>
      </c>
    </row>
    <row r="4" spans="1:21" ht="18" x14ac:dyDescent="0.55000000000000004">
      <c r="A4" s="13" t="s">
        <v>64</v>
      </c>
      <c r="B4" s="11">
        <f t="shared" ref="B4:Q22" ca="1" si="2">_xlfn.COVARIANCE.S(INDIRECT($A4),INDIRECT(B$2))</f>
        <v>3.2589277662218599E-2</v>
      </c>
      <c r="C4" s="11">
        <f t="shared" ca="1" si="0"/>
        <v>0.18095225951025334</v>
      </c>
      <c r="D4" s="11">
        <f t="shared" ca="1" si="0"/>
        <v>5.7144891569684837E-2</v>
      </c>
      <c r="E4" s="11">
        <f t="shared" ca="1" si="0"/>
        <v>2.2603863289183679E-2</v>
      </c>
      <c r="F4" s="11">
        <f t="shared" ca="1" si="0"/>
        <v>2.1343290537533074E-2</v>
      </c>
      <c r="G4" s="11">
        <f t="shared" ca="1" si="0"/>
        <v>1.7709224266245646E-2</v>
      </c>
      <c r="H4" s="11">
        <f t="shared" ca="1" si="0"/>
        <v>1.8593509982357662E-2</v>
      </c>
      <c r="I4" s="11">
        <f t="shared" ca="1" si="0"/>
        <v>1.5355023193550961E-2</v>
      </c>
      <c r="J4" s="11">
        <f t="shared" ca="1" si="0"/>
        <v>1.6181014731990632E-2</v>
      </c>
      <c r="K4" s="11">
        <f t="shared" ca="1" si="0"/>
        <v>2.1191312382566833E-2</v>
      </c>
      <c r="L4" s="11">
        <f t="shared" ca="1" si="0"/>
        <v>1.5770107364676627E-3</v>
      </c>
      <c r="M4" s="11">
        <f t="shared" ca="1" si="0"/>
        <v>8.2163340449174331E-3</v>
      </c>
      <c r="N4" s="11">
        <f t="shared" ca="1" si="0"/>
        <v>2.3984524612837038E-2</v>
      </c>
      <c r="O4" s="11">
        <f t="shared" ca="1" si="0"/>
        <v>1.9266162242406699E-2</v>
      </c>
      <c r="P4" s="11">
        <f t="shared" ca="1" si="0"/>
        <v>1.1069880765420521E-2</v>
      </c>
      <c r="Q4" s="11">
        <f t="shared" ca="1" si="0"/>
        <v>1.2781152761539999E-3</v>
      </c>
      <c r="R4" s="11">
        <f t="shared" ca="1" si="0"/>
        <v>1.7602186846092272E-3</v>
      </c>
      <c r="S4" s="11">
        <f t="shared" ca="1" si="0"/>
        <v>9.3820755650371752E-3</v>
      </c>
      <c r="T4" s="11">
        <f t="shared" ca="1" si="0"/>
        <v>3.6324241547153566E-2</v>
      </c>
      <c r="U4" s="11">
        <f t="shared" ca="1" si="1"/>
        <v>2.8374988960448828E-2</v>
      </c>
    </row>
    <row r="5" spans="1:21" ht="18" x14ac:dyDescent="0.55000000000000004">
      <c r="A5" s="13" t="s">
        <v>65</v>
      </c>
      <c r="B5" s="11">
        <f t="shared" ca="1" si="2"/>
        <v>1.463887671591115E-2</v>
      </c>
      <c r="C5" s="11">
        <f t="shared" ca="1" si="0"/>
        <v>5.7144891569684837E-2</v>
      </c>
      <c r="D5" s="11">
        <f t="shared" ca="1" si="0"/>
        <v>5.4788087323403747E-2</v>
      </c>
      <c r="E5" s="11">
        <f t="shared" ca="1" si="0"/>
        <v>1.0533224036398517E-2</v>
      </c>
      <c r="F5" s="11">
        <f t="shared" ca="1" si="0"/>
        <v>8.7271330015847807E-3</v>
      </c>
      <c r="G5" s="11">
        <f t="shared" ca="1" si="0"/>
        <v>1.3785615247685758E-2</v>
      </c>
      <c r="H5" s="11">
        <f t="shared" ca="1" si="0"/>
        <v>1.3342727993575183E-2</v>
      </c>
      <c r="I5" s="11">
        <f t="shared" ca="1" si="0"/>
        <v>9.073525180326605E-3</v>
      </c>
      <c r="J5" s="11">
        <f t="shared" ca="1" si="0"/>
        <v>6.5649347564524776E-3</v>
      </c>
      <c r="K5" s="11">
        <f t="shared" ca="1" si="0"/>
        <v>6.2153961977334232E-3</v>
      </c>
      <c r="L5" s="11">
        <f t="shared" ca="1" si="0"/>
        <v>2.9311005381226006E-3</v>
      </c>
      <c r="M5" s="11">
        <f t="shared" ca="1" si="0"/>
        <v>1.083436804211561E-2</v>
      </c>
      <c r="N5" s="11">
        <f t="shared" ca="1" si="0"/>
        <v>6.6450700593223139E-3</v>
      </c>
      <c r="O5" s="11">
        <f t="shared" ca="1" si="0"/>
        <v>1.0465571761910998E-2</v>
      </c>
      <c r="P5" s="11">
        <f t="shared" ca="1" si="0"/>
        <v>-1.9941767438588686E-4</v>
      </c>
      <c r="Q5" s="11">
        <f t="shared" ca="1" si="0"/>
        <v>5.9518920316391343E-3</v>
      </c>
      <c r="R5" s="11">
        <f t="shared" ca="1" si="0"/>
        <v>9.7464000747999485E-4</v>
      </c>
      <c r="S5" s="11">
        <f t="shared" ca="1" si="0"/>
        <v>7.9076070602050255E-3</v>
      </c>
      <c r="T5" s="11">
        <f t="shared" ca="1" si="0"/>
        <v>1.2653743528873841E-2</v>
      </c>
      <c r="U5" s="11">
        <f t="shared" ca="1" si="1"/>
        <v>1.3457776048481281E-2</v>
      </c>
    </row>
    <row r="6" spans="1:21" ht="18" x14ac:dyDescent="0.55000000000000004">
      <c r="A6" s="13" t="s">
        <v>66</v>
      </c>
      <c r="B6" s="11">
        <f t="shared" ca="1" si="2"/>
        <v>9.6693590567332784E-3</v>
      </c>
      <c r="C6" s="11">
        <f t="shared" ca="1" si="0"/>
        <v>2.2603863289183679E-2</v>
      </c>
      <c r="D6" s="11">
        <f t="shared" ca="1" si="0"/>
        <v>1.0533224036398517E-2</v>
      </c>
      <c r="E6" s="11">
        <f t="shared" ca="1" si="0"/>
        <v>1.5407232559680458E-2</v>
      </c>
      <c r="F6" s="11">
        <f t="shared" ca="1" si="0"/>
        <v>7.3729540502942108E-3</v>
      </c>
      <c r="G6" s="11">
        <f t="shared" ca="1" si="0"/>
        <v>6.0401114631374007E-3</v>
      </c>
      <c r="H6" s="11">
        <f t="shared" ca="1" si="0"/>
        <v>-1.7015064190378567E-2</v>
      </c>
      <c r="I6" s="11">
        <f t="shared" ca="1" si="0"/>
        <v>6.2701802943367991E-3</v>
      </c>
      <c r="J6" s="11">
        <f t="shared" ca="1" si="0"/>
        <v>6.5014739833015528E-3</v>
      </c>
      <c r="K6" s="11">
        <f t="shared" ca="1" si="0"/>
        <v>1.5872527443296324E-2</v>
      </c>
      <c r="L6" s="11">
        <f t="shared" ca="1" si="0"/>
        <v>2.9194331607386862E-3</v>
      </c>
      <c r="M6" s="11">
        <f t="shared" ca="1" si="0"/>
        <v>4.3890922519981244E-3</v>
      </c>
      <c r="N6" s="11">
        <f t="shared" ca="1" si="0"/>
        <v>5.7683513176014656E-3</v>
      </c>
      <c r="O6" s="11">
        <f t="shared" ca="1" si="0"/>
        <v>6.3989021210901957E-3</v>
      </c>
      <c r="P6" s="11">
        <f t="shared" ca="1" si="0"/>
        <v>2.3236615721807384E-3</v>
      </c>
      <c r="Q6" s="11">
        <f t="shared" ca="1" si="0"/>
        <v>3.4267425869250676E-3</v>
      </c>
      <c r="R6" s="11">
        <f t="shared" ca="1" si="0"/>
        <v>6.3679254305151214E-4</v>
      </c>
      <c r="S6" s="11">
        <f t="shared" ca="1" si="0"/>
        <v>3.7785421295530508E-3</v>
      </c>
      <c r="T6" s="11">
        <f t="shared" ca="1" si="0"/>
        <v>1.0677532952291411E-2</v>
      </c>
      <c r="U6" s="11">
        <f t="shared" ca="1" si="1"/>
        <v>1.3364635699830024E-2</v>
      </c>
    </row>
    <row r="7" spans="1:21" ht="18" x14ac:dyDescent="0.55000000000000004">
      <c r="A7" s="13" t="s">
        <v>67</v>
      </c>
      <c r="B7" s="11">
        <f t="shared" ca="1" si="2"/>
        <v>2.2380623097177255E-2</v>
      </c>
      <c r="C7" s="11">
        <f t="shared" ca="1" si="0"/>
        <v>2.1343290537533074E-2</v>
      </c>
      <c r="D7" s="11">
        <f t="shared" ca="1" si="0"/>
        <v>8.7271330015847807E-3</v>
      </c>
      <c r="E7" s="11">
        <f t="shared" ca="1" si="0"/>
        <v>7.3729540502942108E-3</v>
      </c>
      <c r="F7" s="11">
        <f t="shared" ca="1" si="0"/>
        <v>2.7916270502116102E-2</v>
      </c>
      <c r="G7" s="11">
        <f t="shared" ca="1" si="0"/>
        <v>7.3710167210088951E-3</v>
      </c>
      <c r="H7" s="11">
        <f t="shared" ca="1" si="0"/>
        <v>-2.7314354867254795E-2</v>
      </c>
      <c r="I7" s="11">
        <f t="shared" ca="1" si="0"/>
        <v>8.4516939453965836E-3</v>
      </c>
      <c r="J7" s="11">
        <f t="shared" ca="1" si="0"/>
        <v>8.8394722231856949E-3</v>
      </c>
      <c r="K7" s="11">
        <f t="shared" ca="1" si="0"/>
        <v>1.2138008060599711E-2</v>
      </c>
      <c r="L7" s="11">
        <f t="shared" ca="1" si="0"/>
        <v>1.4955767326559055E-3</v>
      </c>
      <c r="M7" s="11">
        <f t="shared" ca="1" si="0"/>
        <v>1.084663063798535E-2</v>
      </c>
      <c r="N7" s="11">
        <f t="shared" ca="1" si="0"/>
        <v>1.6882176755285274E-2</v>
      </c>
      <c r="O7" s="11">
        <f t="shared" ca="1" si="0"/>
        <v>1.1117214632424474E-2</v>
      </c>
      <c r="P7" s="11">
        <f t="shared" ca="1" si="0"/>
        <v>5.64480123815403E-3</v>
      </c>
      <c r="Q7" s="11">
        <f t="shared" ca="1" si="0"/>
        <v>6.3657984828929919E-3</v>
      </c>
      <c r="R7" s="11">
        <f t="shared" ca="1" si="0"/>
        <v>-3.6688694519847894E-5</v>
      </c>
      <c r="S7" s="11">
        <f t="shared" ca="1" si="0"/>
        <v>3.5389402751404972E-3</v>
      </c>
      <c r="T7" s="11">
        <f t="shared" ca="1" si="0"/>
        <v>2.1379129166933377E-2</v>
      </c>
      <c r="U7" s="11">
        <f t="shared" ca="1" si="1"/>
        <v>1.6054391132794908E-2</v>
      </c>
    </row>
    <row r="8" spans="1:21" ht="18" x14ac:dyDescent="0.55000000000000004">
      <c r="A8" s="13" t="s">
        <v>68</v>
      </c>
      <c r="B8" s="11">
        <f t="shared" ca="1" si="2"/>
        <v>8.1707131867894099E-3</v>
      </c>
      <c r="C8" s="11">
        <f t="shared" ca="1" si="0"/>
        <v>1.7709224266245646E-2</v>
      </c>
      <c r="D8" s="11">
        <f t="shared" ca="1" si="0"/>
        <v>1.3785615247685758E-2</v>
      </c>
      <c r="E8" s="11">
        <f t="shared" ca="1" si="0"/>
        <v>6.0401114631374007E-3</v>
      </c>
      <c r="F8" s="11">
        <f t="shared" ca="1" si="0"/>
        <v>7.3710167210088951E-3</v>
      </c>
      <c r="G8" s="11">
        <f t="shared" ca="1" si="0"/>
        <v>1.7352179087040263E-2</v>
      </c>
      <c r="H8" s="11">
        <f t="shared" ca="1" si="0"/>
        <v>-7.306587992222004E-3</v>
      </c>
      <c r="I8" s="11">
        <f t="shared" ca="1" si="0"/>
        <v>5.7515825601656845E-3</v>
      </c>
      <c r="J8" s="11">
        <f t="shared" ca="1" si="0"/>
        <v>5.5676917725942859E-3</v>
      </c>
      <c r="K8" s="11">
        <f t="shared" ca="1" si="0"/>
        <v>7.9853680982758125E-3</v>
      </c>
      <c r="L8" s="11">
        <f t="shared" ca="1" si="0"/>
        <v>4.8901375809100346E-3</v>
      </c>
      <c r="M8" s="11">
        <f t="shared" ca="1" si="0"/>
        <v>6.6030550969815643E-3</v>
      </c>
      <c r="N8" s="11">
        <f t="shared" ca="1" si="0"/>
        <v>6.8517764544116181E-3</v>
      </c>
      <c r="O8" s="11">
        <f t="shared" ca="1" si="0"/>
        <v>6.5199164801321837E-3</v>
      </c>
      <c r="P8" s="11">
        <f t="shared" ca="1" si="0"/>
        <v>8.1069401224739715E-4</v>
      </c>
      <c r="Q8" s="11">
        <f t="shared" ca="1" si="0"/>
        <v>5.9038579081544616E-3</v>
      </c>
      <c r="R8" s="11">
        <f t="shared" ca="1" si="0"/>
        <v>1.7436831187965678E-3</v>
      </c>
      <c r="S8" s="11">
        <f t="shared" ca="1" si="0"/>
        <v>3.8287860030671314E-3</v>
      </c>
      <c r="T8" s="11">
        <f t="shared" ca="1" si="0"/>
        <v>7.3929979169513292E-3</v>
      </c>
      <c r="U8" s="11">
        <f t="shared" ca="1" si="1"/>
        <v>2.8029233853311126E-3</v>
      </c>
    </row>
    <row r="9" spans="1:21" ht="18" x14ac:dyDescent="0.55000000000000004">
      <c r="A9" s="13" t="s">
        <v>69</v>
      </c>
      <c r="B9" s="11">
        <f t="shared" ca="1" si="2"/>
        <v>-2.0479264341044894E-2</v>
      </c>
      <c r="C9" s="11">
        <f t="shared" ca="1" si="0"/>
        <v>1.8593509982357662E-2</v>
      </c>
      <c r="D9" s="11">
        <f t="shared" ca="1" si="0"/>
        <v>1.3342727993575183E-2</v>
      </c>
      <c r="E9" s="11">
        <f t="shared" ca="1" si="0"/>
        <v>-1.7015064190378567E-2</v>
      </c>
      <c r="F9" s="11">
        <f t="shared" ca="1" si="0"/>
        <v>-2.7314354867254795E-2</v>
      </c>
      <c r="G9" s="11">
        <f t="shared" ca="1" si="0"/>
        <v>-7.306587992222004E-3</v>
      </c>
      <c r="H9" s="11">
        <f t="shared" ca="1" si="0"/>
        <v>0.28123652094287149</v>
      </c>
      <c r="I9" s="11">
        <f t="shared" ca="1" si="0"/>
        <v>-2.4442780440334398E-2</v>
      </c>
      <c r="J9" s="11">
        <f t="shared" ca="1" si="0"/>
        <v>-2.7793729032252284E-2</v>
      </c>
      <c r="K9" s="11">
        <f t="shared" ca="1" si="0"/>
        <v>-3.1455481652825343E-2</v>
      </c>
      <c r="L9" s="11">
        <f t="shared" ca="1" si="0"/>
        <v>1.383993477662896E-3</v>
      </c>
      <c r="M9" s="11">
        <f t="shared" ca="1" si="0"/>
        <v>-3.8565104804631064E-3</v>
      </c>
      <c r="N9" s="11">
        <f t="shared" ca="1" si="0"/>
        <v>-1.8283769759303549E-2</v>
      </c>
      <c r="O9" s="11">
        <f t="shared" ca="1" si="0"/>
        <v>-1.1635204729661645E-2</v>
      </c>
      <c r="P9" s="11">
        <f t="shared" ca="1" si="0"/>
        <v>-1.85607788627842E-3</v>
      </c>
      <c r="Q9" s="11">
        <f t="shared" ca="1" si="0"/>
        <v>3.4785671147723705E-3</v>
      </c>
      <c r="R9" s="11">
        <f t="shared" ca="1" si="0"/>
        <v>6.4352667916778563E-3</v>
      </c>
      <c r="S9" s="11">
        <f t="shared" ca="1" si="0"/>
        <v>-1.582640141001453E-2</v>
      </c>
      <c r="T9" s="11">
        <f t="shared" ca="1" si="0"/>
        <v>-2.0884377747182784E-2</v>
      </c>
      <c r="U9" s="11">
        <f t="shared" ca="1" si="1"/>
        <v>-2.2367402422437517E-2</v>
      </c>
    </row>
    <row r="10" spans="1:21" ht="18" x14ac:dyDescent="0.55000000000000004">
      <c r="A10" s="13" t="s">
        <v>70</v>
      </c>
      <c r="B10" s="11">
        <f t="shared" ca="1" si="2"/>
        <v>9.4469631953722957E-3</v>
      </c>
      <c r="C10" s="11">
        <f t="shared" ca="1" si="0"/>
        <v>1.5355023193550961E-2</v>
      </c>
      <c r="D10" s="11">
        <f t="shared" ca="1" si="0"/>
        <v>9.073525180326605E-3</v>
      </c>
      <c r="E10" s="11">
        <f t="shared" ca="1" si="0"/>
        <v>6.2701802943367991E-3</v>
      </c>
      <c r="F10" s="11">
        <f t="shared" ca="1" si="0"/>
        <v>8.4516939453965836E-3</v>
      </c>
      <c r="G10" s="11">
        <f t="shared" ca="1" si="0"/>
        <v>5.7515825601656845E-3</v>
      </c>
      <c r="H10" s="11">
        <f t="shared" ca="1" si="0"/>
        <v>-2.4442780440334398E-2</v>
      </c>
      <c r="I10" s="11">
        <f t="shared" ca="1" si="0"/>
        <v>9.9502084350080056E-3</v>
      </c>
      <c r="J10" s="11">
        <f t="shared" ca="1" si="0"/>
        <v>5.4018113526735677E-3</v>
      </c>
      <c r="K10" s="11">
        <f t="shared" ca="1" si="0"/>
        <v>1.1548090730607492E-2</v>
      </c>
      <c r="L10" s="11">
        <f t="shared" ca="1" si="0"/>
        <v>3.0270439749462033E-3</v>
      </c>
      <c r="M10" s="11">
        <f t="shared" ca="1" si="0"/>
        <v>4.4370711848390988E-3</v>
      </c>
      <c r="N10" s="11">
        <f t="shared" ca="1" si="0"/>
        <v>6.8931274706652357E-3</v>
      </c>
      <c r="O10" s="11">
        <f t="shared" ca="1" si="0"/>
        <v>5.8421220258648692E-3</v>
      </c>
      <c r="P10" s="11">
        <f t="shared" ca="1" si="0"/>
        <v>2.6626539854972438E-3</v>
      </c>
      <c r="Q10" s="11">
        <f t="shared" ca="1" si="0"/>
        <v>4.1833193035600335E-3</v>
      </c>
      <c r="R10" s="11">
        <f t="shared" ca="1" si="0"/>
        <v>1.0422778548561816E-3</v>
      </c>
      <c r="S10" s="11">
        <f t="shared" ca="1" si="0"/>
        <v>2.3773129705111679E-3</v>
      </c>
      <c r="T10" s="11">
        <f t="shared" ca="1" si="0"/>
        <v>7.748804402338205E-3</v>
      </c>
      <c r="U10" s="11">
        <f t="shared" ca="1" si="1"/>
        <v>5.3602947282317265E-3</v>
      </c>
    </row>
    <row r="11" spans="1:21" ht="18" x14ac:dyDescent="0.55000000000000004">
      <c r="A11" s="13" t="s">
        <v>71</v>
      </c>
      <c r="B11" s="11">
        <f t="shared" ca="1" si="2"/>
        <v>9.7783467719911744E-3</v>
      </c>
      <c r="C11" s="11">
        <f t="shared" ca="1" si="0"/>
        <v>1.6181014731990632E-2</v>
      </c>
      <c r="D11" s="11">
        <f t="shared" ca="1" si="0"/>
        <v>6.5649347564524776E-3</v>
      </c>
      <c r="E11" s="11">
        <f t="shared" ca="1" si="0"/>
        <v>6.5014739833015528E-3</v>
      </c>
      <c r="F11" s="11">
        <f t="shared" ca="1" si="0"/>
        <v>8.8394722231856949E-3</v>
      </c>
      <c r="G11" s="11">
        <f t="shared" ca="1" si="0"/>
        <v>5.5676917725942859E-3</v>
      </c>
      <c r="H11" s="11">
        <f t="shared" ca="1" si="0"/>
        <v>-2.7793729032252284E-2</v>
      </c>
      <c r="I11" s="11">
        <f t="shared" ca="1" si="0"/>
        <v>5.4018113526735677E-3</v>
      </c>
      <c r="J11" s="11">
        <f t="shared" ca="1" si="0"/>
        <v>8.387535383007164E-3</v>
      </c>
      <c r="K11" s="11">
        <f t="shared" ca="1" si="0"/>
        <v>1.2781566111875777E-2</v>
      </c>
      <c r="L11" s="11">
        <f t="shared" ca="1" si="0"/>
        <v>1.9090291804023285E-3</v>
      </c>
      <c r="M11" s="11">
        <f t="shared" ca="1" si="0"/>
        <v>7.1736908918947281E-3</v>
      </c>
      <c r="N11" s="11">
        <f t="shared" ca="1" si="0"/>
        <v>7.1440275374228803E-3</v>
      </c>
      <c r="O11" s="11">
        <f t="shared" ca="1" si="0"/>
        <v>6.8498471373575143E-3</v>
      </c>
      <c r="P11" s="11">
        <f t="shared" ca="1" si="0"/>
        <v>2.9843993542795098E-3</v>
      </c>
      <c r="Q11" s="11">
        <f t="shared" ca="1" si="0"/>
        <v>2.1782343120440358E-3</v>
      </c>
      <c r="R11" s="11">
        <f t="shared" ca="1" si="0"/>
        <v>-3.1005178296088139E-4</v>
      </c>
      <c r="S11" s="11">
        <f t="shared" ca="1" si="0"/>
        <v>5.4032682977183067E-3</v>
      </c>
      <c r="T11" s="11">
        <f t="shared" ca="1" si="0"/>
        <v>1.1817484293834573E-2</v>
      </c>
      <c r="U11" s="11">
        <f t="shared" ca="1" si="1"/>
        <v>8.7050676612400631E-3</v>
      </c>
    </row>
    <row r="12" spans="1:21" ht="18" x14ac:dyDescent="0.55000000000000004">
      <c r="A12" s="13" t="s">
        <v>72</v>
      </c>
      <c r="B12" s="11">
        <f t="shared" ca="1" si="2"/>
        <v>1.3610616704828733E-2</v>
      </c>
      <c r="C12" s="11">
        <f t="shared" ca="1" si="0"/>
        <v>2.1191312382566833E-2</v>
      </c>
      <c r="D12" s="11">
        <f t="shared" ca="1" si="0"/>
        <v>6.2153961977334232E-3</v>
      </c>
      <c r="E12" s="11">
        <f t="shared" ca="1" si="0"/>
        <v>1.5872527443296324E-2</v>
      </c>
      <c r="F12" s="11">
        <f t="shared" ca="1" si="0"/>
        <v>1.2138008060599711E-2</v>
      </c>
      <c r="G12" s="11">
        <f t="shared" ca="1" si="0"/>
        <v>7.9853680982758125E-3</v>
      </c>
      <c r="H12" s="11">
        <f t="shared" ca="1" si="0"/>
        <v>-3.1455481652825343E-2</v>
      </c>
      <c r="I12" s="11">
        <f t="shared" ca="1" si="0"/>
        <v>1.1548090730607492E-2</v>
      </c>
      <c r="J12" s="11">
        <f t="shared" ca="1" si="0"/>
        <v>1.2781566111875777E-2</v>
      </c>
      <c r="K12" s="11">
        <f t="shared" ca="1" si="0"/>
        <v>0.10064686542706892</v>
      </c>
      <c r="L12" s="11">
        <f t="shared" ca="1" si="0"/>
        <v>5.651954283695501E-3</v>
      </c>
      <c r="M12" s="11">
        <f t="shared" ca="1" si="0"/>
        <v>1.8588045792114299E-2</v>
      </c>
      <c r="N12" s="11">
        <f t="shared" ca="1" si="0"/>
        <v>5.8850983722689189E-3</v>
      </c>
      <c r="O12" s="11">
        <f t="shared" ca="1" si="0"/>
        <v>9.1377525564956714E-3</v>
      </c>
      <c r="P12" s="11">
        <f t="shared" ca="1" si="0"/>
        <v>7.2192603359094391E-3</v>
      </c>
      <c r="Q12" s="11">
        <f t="shared" ca="1" si="0"/>
        <v>9.160619749075543E-3</v>
      </c>
      <c r="R12" s="11">
        <f t="shared" ca="1" si="0"/>
        <v>2.5459711809686114E-3</v>
      </c>
      <c r="S12" s="11">
        <f t="shared" ca="1" si="0"/>
        <v>7.0333603353656144E-3</v>
      </c>
      <c r="T12" s="11">
        <f t="shared" ca="1" si="0"/>
        <v>1.6456572301116437E-2</v>
      </c>
      <c r="U12" s="11">
        <f t="shared" ca="1" si="1"/>
        <v>1.3157631939053905E-2</v>
      </c>
    </row>
    <row r="13" spans="1:21" ht="18" x14ac:dyDescent="0.55000000000000004">
      <c r="A13" s="13" t="s">
        <v>73</v>
      </c>
      <c r="B13" s="11">
        <f t="shared" ca="1" si="2"/>
        <v>2.7107465545401768E-3</v>
      </c>
      <c r="C13" s="11">
        <f t="shared" ca="1" si="0"/>
        <v>1.5770107364676627E-3</v>
      </c>
      <c r="D13" s="11">
        <f t="shared" ca="1" si="0"/>
        <v>2.9311005381226006E-3</v>
      </c>
      <c r="E13" s="11">
        <f t="shared" ca="1" si="0"/>
        <v>2.9194331607386862E-3</v>
      </c>
      <c r="F13" s="11">
        <f t="shared" ca="1" si="0"/>
        <v>1.4955767326559055E-3</v>
      </c>
      <c r="G13" s="11">
        <f t="shared" ca="1" si="0"/>
        <v>4.8901375809100346E-3</v>
      </c>
      <c r="H13" s="11">
        <f t="shared" ca="1" si="0"/>
        <v>1.383993477662896E-3</v>
      </c>
      <c r="I13" s="11">
        <f t="shared" ca="1" si="0"/>
        <v>3.0270439749462033E-3</v>
      </c>
      <c r="J13" s="11">
        <f t="shared" ca="1" si="0"/>
        <v>1.9090291804023285E-3</v>
      </c>
      <c r="K13" s="11">
        <f t="shared" ca="1" si="0"/>
        <v>5.651954283695501E-3</v>
      </c>
      <c r="L13" s="11">
        <f t="shared" ca="1" si="0"/>
        <v>6.0462742258056259E-3</v>
      </c>
      <c r="M13" s="11">
        <f t="shared" ca="1" si="0"/>
        <v>2.6482203112198968E-3</v>
      </c>
      <c r="N13" s="11">
        <f t="shared" ca="1" si="0"/>
        <v>1.7749736018322134E-3</v>
      </c>
      <c r="O13" s="11">
        <f t="shared" ca="1" si="0"/>
        <v>3.2401070895548413E-3</v>
      </c>
      <c r="P13" s="11">
        <f t="shared" ca="1" si="0"/>
        <v>3.5238203857637911E-4</v>
      </c>
      <c r="Q13" s="11">
        <f t="shared" ca="1" si="0"/>
        <v>2.4619553514385112E-3</v>
      </c>
      <c r="R13" s="11">
        <f t="shared" ca="1" si="0"/>
        <v>9.3327512177778969E-4</v>
      </c>
      <c r="S13" s="11">
        <f t="shared" ca="1" si="0"/>
        <v>3.4530421496281436E-3</v>
      </c>
      <c r="T13" s="11">
        <f t="shared" ca="1" si="0"/>
        <v>2.8031053570307541E-3</v>
      </c>
      <c r="U13" s="11">
        <f t="shared" ca="1" si="1"/>
        <v>1.1710302308099456E-3</v>
      </c>
    </row>
    <row r="14" spans="1:21" ht="18" x14ac:dyDescent="0.55000000000000004">
      <c r="A14" s="13" t="s">
        <v>74</v>
      </c>
      <c r="B14" s="11">
        <f t="shared" ca="1" si="2"/>
        <v>1.1513939639000687E-2</v>
      </c>
      <c r="C14" s="11">
        <f t="shared" ca="1" si="0"/>
        <v>8.2163340449174331E-3</v>
      </c>
      <c r="D14" s="11">
        <f t="shared" ca="1" si="0"/>
        <v>1.083436804211561E-2</v>
      </c>
      <c r="E14" s="11">
        <f t="shared" ca="1" si="0"/>
        <v>4.3890922519981244E-3</v>
      </c>
      <c r="F14" s="11">
        <f t="shared" ca="1" si="0"/>
        <v>1.084663063798535E-2</v>
      </c>
      <c r="G14" s="11">
        <f t="shared" ca="1" si="0"/>
        <v>6.6030550969815643E-3</v>
      </c>
      <c r="H14" s="11">
        <f t="shared" ca="1" si="0"/>
        <v>-3.8565104804631064E-3</v>
      </c>
      <c r="I14" s="11">
        <f t="shared" ca="1" si="0"/>
        <v>4.4370711848390988E-3</v>
      </c>
      <c r="J14" s="11">
        <f t="shared" ca="1" si="0"/>
        <v>7.1736908918947281E-3</v>
      </c>
      <c r="K14" s="11">
        <f t="shared" ca="1" si="0"/>
        <v>1.8588045792114299E-2</v>
      </c>
      <c r="L14" s="11">
        <f t="shared" ca="1" si="0"/>
        <v>2.6482203112198968E-3</v>
      </c>
      <c r="M14" s="11">
        <f t="shared" ca="1" si="0"/>
        <v>2.9320728429021923E-2</v>
      </c>
      <c r="N14" s="11">
        <f t="shared" ca="1" si="0"/>
        <v>1.0977707375438597E-2</v>
      </c>
      <c r="O14" s="11">
        <f t="shared" ca="1" si="0"/>
        <v>1.1288303683006319E-2</v>
      </c>
      <c r="P14" s="11">
        <f t="shared" ca="1" si="0"/>
        <v>4.5017705978888786E-3</v>
      </c>
      <c r="Q14" s="11">
        <f t="shared" ca="1" si="0"/>
        <v>4.957692092973429E-3</v>
      </c>
      <c r="R14" s="11">
        <f t="shared" ca="1" si="0"/>
        <v>5.2976093276111021E-4</v>
      </c>
      <c r="S14" s="11">
        <f t="shared" ca="1" si="0"/>
        <v>3.4031543964040496E-3</v>
      </c>
      <c r="T14" s="11">
        <f t="shared" ca="1" si="0"/>
        <v>1.3816381954455375E-2</v>
      </c>
      <c r="U14" s="11">
        <f t="shared" ca="1" si="1"/>
        <v>1.036859575872732E-2</v>
      </c>
    </row>
    <row r="15" spans="1:21" ht="18" x14ac:dyDescent="0.55000000000000004">
      <c r="A15" s="13" t="s">
        <v>75</v>
      </c>
      <c r="B15" s="11">
        <f t="shared" ca="1" si="2"/>
        <v>1.9867343890393949E-2</v>
      </c>
      <c r="C15" s="11">
        <f t="shared" ca="1" si="0"/>
        <v>2.3984524612837038E-2</v>
      </c>
      <c r="D15" s="11">
        <f t="shared" ca="1" si="0"/>
        <v>6.6450700593223139E-3</v>
      </c>
      <c r="E15" s="11">
        <f t="shared" ca="1" si="0"/>
        <v>5.7683513176014656E-3</v>
      </c>
      <c r="F15" s="11">
        <f t="shared" ca="1" si="0"/>
        <v>1.6882176755285274E-2</v>
      </c>
      <c r="G15" s="11">
        <f t="shared" ca="1" si="0"/>
        <v>6.8517764544116181E-3</v>
      </c>
      <c r="H15" s="11">
        <f t="shared" ca="1" si="0"/>
        <v>-1.8283769759303549E-2</v>
      </c>
      <c r="I15" s="11">
        <f t="shared" ca="1" si="0"/>
        <v>6.8931274706652357E-3</v>
      </c>
      <c r="J15" s="11">
        <f t="shared" ca="1" si="0"/>
        <v>7.1440275374228803E-3</v>
      </c>
      <c r="K15" s="11">
        <f t="shared" ca="1" si="0"/>
        <v>5.8850983722689189E-3</v>
      </c>
      <c r="L15" s="11">
        <f t="shared" ca="1" si="0"/>
        <v>1.7749736018322134E-3</v>
      </c>
      <c r="M15" s="11">
        <f t="shared" ca="1" si="0"/>
        <v>1.0977707375438597E-2</v>
      </c>
      <c r="N15" s="11">
        <f t="shared" ca="1" si="0"/>
        <v>2.1476455914830606E-2</v>
      </c>
      <c r="O15" s="11">
        <f t="shared" ca="1" si="0"/>
        <v>1.2251002833908634E-2</v>
      </c>
      <c r="P15" s="11">
        <f t="shared" ca="1" si="0"/>
        <v>3.712988369991749E-3</v>
      </c>
      <c r="Q15" s="11">
        <f t="shared" ca="1" si="0"/>
        <v>4.7576416888282132E-3</v>
      </c>
      <c r="R15" s="11">
        <f t="shared" ca="1" si="0"/>
        <v>1.5042306835639661E-3</v>
      </c>
      <c r="S15" s="11">
        <f t="shared" ca="1" si="0"/>
        <v>3.8557708224460077E-3</v>
      </c>
      <c r="T15" s="11">
        <f t="shared" ca="1" si="0"/>
        <v>1.7682997275964476E-2</v>
      </c>
      <c r="U15" s="11">
        <f t="shared" ca="1" si="1"/>
        <v>1.072105526486832E-2</v>
      </c>
    </row>
    <row r="16" spans="1:21" ht="18" x14ac:dyDescent="0.55000000000000004">
      <c r="A16" s="13" t="s">
        <v>76</v>
      </c>
      <c r="B16" s="11">
        <f t="shared" ca="1" si="2"/>
        <v>1.4355117294579615E-2</v>
      </c>
      <c r="C16" s="11">
        <f t="shared" ca="1" si="0"/>
        <v>1.9266162242406699E-2</v>
      </c>
      <c r="D16" s="11">
        <f t="shared" ca="1" si="0"/>
        <v>1.0465571761910998E-2</v>
      </c>
      <c r="E16" s="11">
        <f t="shared" ca="1" si="0"/>
        <v>6.3989021210901957E-3</v>
      </c>
      <c r="F16" s="11">
        <f t="shared" ca="1" si="0"/>
        <v>1.1117214632424474E-2</v>
      </c>
      <c r="G16" s="11">
        <f t="shared" ca="1" si="0"/>
        <v>6.5199164801321837E-3</v>
      </c>
      <c r="H16" s="11">
        <f t="shared" ca="1" si="0"/>
        <v>-1.1635204729661645E-2</v>
      </c>
      <c r="I16" s="11">
        <f t="shared" ca="1" si="0"/>
        <v>5.8421220258648692E-3</v>
      </c>
      <c r="J16" s="11">
        <f t="shared" ca="1" si="0"/>
        <v>6.8498471373575143E-3</v>
      </c>
      <c r="K16" s="11">
        <f t="shared" ca="1" si="0"/>
        <v>9.1377525564956714E-3</v>
      </c>
      <c r="L16" s="11">
        <f t="shared" ca="1" si="0"/>
        <v>3.2401070895548413E-3</v>
      </c>
      <c r="M16" s="11">
        <f t="shared" ca="1" si="0"/>
        <v>1.1288303683006319E-2</v>
      </c>
      <c r="N16" s="11">
        <f t="shared" ca="1" si="0"/>
        <v>1.2251002833908634E-2</v>
      </c>
      <c r="O16" s="11">
        <f t="shared" ca="1" si="0"/>
        <v>1.7858010355744115E-2</v>
      </c>
      <c r="P16" s="11">
        <f t="shared" ca="1" si="0"/>
        <v>4.2436645284394722E-3</v>
      </c>
      <c r="Q16" s="11">
        <f t="shared" ca="1" si="0"/>
        <v>2.8487936431506569E-3</v>
      </c>
      <c r="R16" s="11">
        <f t="shared" ca="1" si="0"/>
        <v>4.2414538461636015E-4</v>
      </c>
      <c r="S16" s="11">
        <f t="shared" ca="1" si="0"/>
        <v>7.417864412880241E-3</v>
      </c>
      <c r="T16" s="11">
        <f t="shared" ca="1" si="0"/>
        <v>1.5081743927100408E-2</v>
      </c>
      <c r="U16" s="11">
        <f t="shared" ca="1" si="1"/>
        <v>1.0862309408726453E-2</v>
      </c>
    </row>
    <row r="17" spans="1:22" ht="18" x14ac:dyDescent="0.55000000000000004">
      <c r="A17" s="13" t="s">
        <v>77</v>
      </c>
      <c r="B17" s="11">
        <f t="shared" ca="1" si="2"/>
        <v>3.2940991617603759E-3</v>
      </c>
      <c r="C17" s="11">
        <f t="shared" ca="1" si="2"/>
        <v>1.1069880765420521E-2</v>
      </c>
      <c r="D17" s="11">
        <f t="shared" ca="1" si="2"/>
        <v>-1.9941767438588686E-4</v>
      </c>
      <c r="E17" s="11">
        <f t="shared" ca="1" si="2"/>
        <v>2.3236615721807384E-3</v>
      </c>
      <c r="F17" s="11">
        <f t="shared" ca="1" si="2"/>
        <v>5.64480123815403E-3</v>
      </c>
      <c r="G17" s="11">
        <f t="shared" ca="1" si="2"/>
        <v>8.1069401224739715E-4</v>
      </c>
      <c r="H17" s="11">
        <f t="shared" ca="1" si="2"/>
        <v>-1.85607788627842E-3</v>
      </c>
      <c r="I17" s="11">
        <f t="shared" ca="1" si="2"/>
        <v>2.6626539854972438E-3</v>
      </c>
      <c r="J17" s="11">
        <f t="shared" ca="1" si="2"/>
        <v>2.9843993542795098E-3</v>
      </c>
      <c r="K17" s="11">
        <f t="shared" ca="1" si="2"/>
        <v>7.2192603359094391E-3</v>
      </c>
      <c r="L17" s="11">
        <f t="shared" ca="1" si="2"/>
        <v>3.5238203857637911E-4</v>
      </c>
      <c r="M17" s="11">
        <f t="shared" ca="1" si="2"/>
        <v>4.5017705978888786E-3</v>
      </c>
      <c r="N17" s="11">
        <f t="shared" ca="1" si="2"/>
        <v>3.712988369991749E-3</v>
      </c>
      <c r="O17" s="11">
        <f t="shared" ca="1" si="2"/>
        <v>4.2436645284394722E-3</v>
      </c>
      <c r="P17" s="11">
        <f t="shared" ca="1" si="2"/>
        <v>1.0084933493056279E-2</v>
      </c>
      <c r="Q17" s="11">
        <f t="shared" ca="1" si="2"/>
        <v>-2.6798928157342771E-4</v>
      </c>
      <c r="R17" s="11">
        <f t="shared" ca="1" si="0"/>
        <v>7.747846208452123E-4</v>
      </c>
      <c r="S17" s="11">
        <f t="shared" ca="1" si="0"/>
        <v>3.5112018046759303E-4</v>
      </c>
      <c r="T17" s="11">
        <f t="shared" ca="1" si="0"/>
        <v>6.6035374121371365E-3</v>
      </c>
      <c r="U17" s="11">
        <f t="shared" ca="1" si="1"/>
        <v>2.4337466211587933E-3</v>
      </c>
    </row>
    <row r="18" spans="1:22" ht="18" x14ac:dyDescent="0.55000000000000004">
      <c r="A18" s="13" t="s">
        <v>78</v>
      </c>
      <c r="B18" s="11">
        <f t="shared" ca="1" si="2"/>
        <v>7.3890836197912065E-3</v>
      </c>
      <c r="C18" s="11">
        <f t="shared" ca="1" si="2"/>
        <v>1.2781152761539999E-3</v>
      </c>
      <c r="D18" s="11">
        <f t="shared" ca="1" si="2"/>
        <v>5.9518920316391343E-3</v>
      </c>
      <c r="E18" s="11">
        <f t="shared" ca="1" si="2"/>
        <v>3.4267425869250676E-3</v>
      </c>
      <c r="F18" s="11">
        <f t="shared" ca="1" si="2"/>
        <v>6.3657984828929919E-3</v>
      </c>
      <c r="G18" s="11">
        <f t="shared" ca="1" si="2"/>
        <v>5.9038579081544616E-3</v>
      </c>
      <c r="H18" s="11">
        <f t="shared" ca="1" si="2"/>
        <v>3.4785671147723705E-3</v>
      </c>
      <c r="I18" s="11">
        <f t="shared" ca="1" si="2"/>
        <v>4.1833193035600335E-3</v>
      </c>
      <c r="J18" s="11">
        <f t="shared" ca="1" si="2"/>
        <v>2.1782343120440358E-3</v>
      </c>
      <c r="K18" s="11">
        <f t="shared" ca="1" si="2"/>
        <v>9.160619749075543E-3</v>
      </c>
      <c r="L18" s="11">
        <f t="shared" ca="1" si="2"/>
        <v>2.4619553514385112E-3</v>
      </c>
      <c r="M18" s="11">
        <f t="shared" ca="1" si="2"/>
        <v>4.957692092973429E-3</v>
      </c>
      <c r="N18" s="11">
        <f t="shared" ca="1" si="2"/>
        <v>4.7576416888282132E-3</v>
      </c>
      <c r="O18" s="11">
        <f t="shared" ca="1" si="2"/>
        <v>2.8487936431506569E-3</v>
      </c>
      <c r="P18" s="11">
        <f t="shared" ca="1" si="2"/>
        <v>-2.6798928157342771E-4</v>
      </c>
      <c r="Q18" s="11">
        <f t="shared" ca="1" si="2"/>
        <v>1.2035241838210781E-2</v>
      </c>
      <c r="R18" s="11">
        <f t="shared" ref="R18:U22" ca="1" si="3">_xlfn.COVARIANCE.S(INDIRECT($A18),INDIRECT(R$2))</f>
        <v>1.1203015757277471E-3</v>
      </c>
      <c r="S18" s="11">
        <f t="shared" ca="1" si="3"/>
        <v>4.3635912873695077E-4</v>
      </c>
      <c r="T18" s="11">
        <f t="shared" ca="1" si="3"/>
        <v>4.864466505545879E-3</v>
      </c>
      <c r="U18" s="11">
        <f t="shared" ca="1" si="1"/>
        <v>1.8505659264695931E-3</v>
      </c>
    </row>
    <row r="19" spans="1:22" ht="18" x14ac:dyDescent="0.55000000000000004">
      <c r="A19" s="13" t="s">
        <v>79</v>
      </c>
      <c r="B19" s="11">
        <f t="shared" ca="1" si="2"/>
        <v>5.8608907997588825E-4</v>
      </c>
      <c r="C19" s="11">
        <f t="shared" ca="1" si="2"/>
        <v>1.7602186846092272E-3</v>
      </c>
      <c r="D19" s="11">
        <f t="shared" ca="1" si="2"/>
        <v>9.7464000747999485E-4</v>
      </c>
      <c r="E19" s="11">
        <f t="shared" ca="1" si="2"/>
        <v>6.3679254305151214E-4</v>
      </c>
      <c r="F19" s="11">
        <f t="shared" ca="1" si="2"/>
        <v>-3.6688694519847894E-5</v>
      </c>
      <c r="G19" s="11">
        <f t="shared" ca="1" si="2"/>
        <v>1.7436831187965678E-3</v>
      </c>
      <c r="H19" s="11">
        <f t="shared" ca="1" si="2"/>
        <v>6.4352667916778563E-3</v>
      </c>
      <c r="I19" s="11">
        <f t="shared" ca="1" si="2"/>
        <v>1.0422778548561816E-3</v>
      </c>
      <c r="J19" s="11">
        <f t="shared" ca="1" si="2"/>
        <v>-3.1005178296088139E-4</v>
      </c>
      <c r="K19" s="11">
        <f t="shared" ca="1" si="2"/>
        <v>2.5459711809686114E-3</v>
      </c>
      <c r="L19" s="11">
        <f t="shared" ca="1" si="2"/>
        <v>9.3327512177778969E-4</v>
      </c>
      <c r="M19" s="11">
        <f t="shared" ca="1" si="2"/>
        <v>5.2976093276111021E-4</v>
      </c>
      <c r="N19" s="11">
        <f t="shared" ca="1" si="2"/>
        <v>1.5042306835639661E-3</v>
      </c>
      <c r="O19" s="11">
        <f t="shared" ca="1" si="2"/>
        <v>4.2414538461636015E-4</v>
      </c>
      <c r="P19" s="11">
        <f t="shared" ca="1" si="2"/>
        <v>7.747846208452123E-4</v>
      </c>
      <c r="Q19" s="11">
        <f t="shared" ca="1" si="2"/>
        <v>1.1203015757277471E-3</v>
      </c>
      <c r="R19" s="11">
        <f t="shared" ca="1" si="3"/>
        <v>2.95806073936583E-3</v>
      </c>
      <c r="S19" s="11">
        <f t="shared" ca="1" si="3"/>
        <v>1.3665398870713376E-3</v>
      </c>
      <c r="T19" s="11">
        <f t="shared" ca="1" si="3"/>
        <v>-4.9629727458736753E-4</v>
      </c>
      <c r="U19" s="11">
        <f t="shared" ca="1" si="1"/>
        <v>-1.0910185538665223E-3</v>
      </c>
    </row>
    <row r="20" spans="1:22" ht="18" x14ac:dyDescent="0.55000000000000004">
      <c r="A20" s="13" t="s">
        <v>81</v>
      </c>
      <c r="B20" s="11">
        <f t="shared" ca="1" si="2"/>
        <v>5.9809318383099181E-3</v>
      </c>
      <c r="C20" s="11">
        <f t="shared" ca="1" si="2"/>
        <v>9.3820755650371752E-3</v>
      </c>
      <c r="D20" s="11">
        <f t="shared" ca="1" si="2"/>
        <v>7.9076070602050255E-3</v>
      </c>
      <c r="E20" s="11">
        <f t="shared" ca="1" si="2"/>
        <v>3.7785421295530508E-3</v>
      </c>
      <c r="F20" s="11">
        <f t="shared" ca="1" si="2"/>
        <v>3.5389402751404972E-3</v>
      </c>
      <c r="G20" s="11">
        <f t="shared" ca="1" si="2"/>
        <v>3.8287860030671314E-3</v>
      </c>
      <c r="H20" s="11">
        <f t="shared" ca="1" si="2"/>
        <v>-1.582640141001453E-2</v>
      </c>
      <c r="I20" s="11">
        <f t="shared" ca="1" si="2"/>
        <v>2.3773129705111679E-3</v>
      </c>
      <c r="J20" s="11">
        <f t="shared" ca="1" si="2"/>
        <v>5.4032682977183067E-3</v>
      </c>
      <c r="K20" s="11">
        <f t="shared" ca="1" si="2"/>
        <v>7.0333603353656144E-3</v>
      </c>
      <c r="L20" s="11">
        <f t="shared" ca="1" si="2"/>
        <v>3.4530421496281436E-3</v>
      </c>
      <c r="M20" s="11">
        <f t="shared" ca="1" si="2"/>
        <v>3.4031543964040496E-3</v>
      </c>
      <c r="N20" s="11">
        <f t="shared" ca="1" si="2"/>
        <v>3.8557708224460077E-3</v>
      </c>
      <c r="O20" s="11">
        <f t="shared" ca="1" si="2"/>
        <v>7.417864412880241E-3</v>
      </c>
      <c r="P20" s="11">
        <f t="shared" ca="1" si="2"/>
        <v>3.5112018046759303E-4</v>
      </c>
      <c r="Q20" s="11">
        <f t="shared" ca="1" si="2"/>
        <v>4.3635912873695077E-4</v>
      </c>
      <c r="R20" s="11">
        <f t="shared" ca="1" si="3"/>
        <v>1.3665398870713376E-3</v>
      </c>
      <c r="S20" s="11">
        <f t="shared" ca="1" si="3"/>
        <v>2.7688964784476716E-2</v>
      </c>
      <c r="T20" s="11">
        <f t="shared" ca="1" si="3"/>
        <v>5.9605230341859749E-3</v>
      </c>
      <c r="U20" s="11">
        <f t="shared" ca="1" si="1"/>
        <v>8.2063508554739706E-3</v>
      </c>
    </row>
    <row r="21" spans="1:22" ht="18" x14ac:dyDescent="0.55000000000000004">
      <c r="A21" s="13" t="s">
        <v>82</v>
      </c>
      <c r="B21" s="11">
        <f t="shared" ca="1" si="2"/>
        <v>2.3128196157254741E-2</v>
      </c>
      <c r="C21" s="11">
        <f t="shared" ca="1" si="2"/>
        <v>3.6324241547153566E-2</v>
      </c>
      <c r="D21" s="11">
        <f t="shared" ca="1" si="2"/>
        <v>1.2653743528873841E-2</v>
      </c>
      <c r="E21" s="11">
        <f t="shared" ca="1" si="2"/>
        <v>1.0677532952291411E-2</v>
      </c>
      <c r="F21" s="11">
        <f t="shared" ca="1" si="2"/>
        <v>2.1379129166933377E-2</v>
      </c>
      <c r="G21" s="11">
        <f t="shared" ca="1" si="2"/>
        <v>7.3929979169513292E-3</v>
      </c>
      <c r="H21" s="11">
        <f t="shared" ca="1" si="2"/>
        <v>-2.0884377747182784E-2</v>
      </c>
      <c r="I21" s="11">
        <f t="shared" ca="1" si="2"/>
        <v>7.748804402338205E-3</v>
      </c>
      <c r="J21" s="11">
        <f t="shared" ca="1" si="2"/>
        <v>1.1817484293834573E-2</v>
      </c>
      <c r="K21" s="11">
        <f t="shared" ca="1" si="2"/>
        <v>1.6456572301116437E-2</v>
      </c>
      <c r="L21" s="11">
        <f t="shared" ca="1" si="2"/>
        <v>2.8031053570307541E-3</v>
      </c>
      <c r="M21" s="11">
        <f t="shared" ca="1" si="2"/>
        <v>1.3816381954455375E-2</v>
      </c>
      <c r="N21" s="11">
        <f t="shared" ca="1" si="2"/>
        <v>1.7682997275964476E-2</v>
      </c>
      <c r="O21" s="11">
        <f t="shared" ca="1" si="2"/>
        <v>1.5081743927100408E-2</v>
      </c>
      <c r="P21" s="11">
        <f t="shared" ca="1" si="2"/>
        <v>6.6035374121371365E-3</v>
      </c>
      <c r="Q21" s="11">
        <f t="shared" ca="1" si="2"/>
        <v>4.864466505545879E-3</v>
      </c>
      <c r="R21" s="11">
        <f t="shared" ca="1" si="3"/>
        <v>-4.9629727458736753E-4</v>
      </c>
      <c r="S21" s="11">
        <f t="shared" ca="1" si="3"/>
        <v>5.9605230341859749E-3</v>
      </c>
      <c r="T21" s="11">
        <f t="shared" ca="1" si="3"/>
        <v>3.045045806352141E-2</v>
      </c>
      <c r="U21" s="11">
        <f t="shared" ca="1" si="1"/>
        <v>2.0851729692593766E-2</v>
      </c>
    </row>
    <row r="22" spans="1:22" ht="18" x14ac:dyDescent="0.55000000000000004">
      <c r="A22" s="13" t="s">
        <v>111</v>
      </c>
      <c r="B22" s="11">
        <f t="shared" ca="1" si="2"/>
        <v>1.7043925391789568E-2</v>
      </c>
      <c r="C22" s="11">
        <f t="shared" ca="1" si="2"/>
        <v>2.8374988960448828E-2</v>
      </c>
      <c r="D22" s="11">
        <f t="shared" ca="1" si="2"/>
        <v>1.3457776048481281E-2</v>
      </c>
      <c r="E22" s="11">
        <f t="shared" ca="1" si="2"/>
        <v>1.3364635699830024E-2</v>
      </c>
      <c r="F22" s="11">
        <f t="shared" ca="1" si="2"/>
        <v>1.6054391132794908E-2</v>
      </c>
      <c r="G22" s="11">
        <f t="shared" ca="1" si="2"/>
        <v>2.8029233853311126E-3</v>
      </c>
      <c r="H22" s="11">
        <f t="shared" ca="1" si="2"/>
        <v>-2.2367402422437517E-2</v>
      </c>
      <c r="I22" s="11">
        <f t="shared" ca="1" si="2"/>
        <v>5.3602947282317265E-3</v>
      </c>
      <c r="J22" s="11">
        <f t="shared" ca="1" si="2"/>
        <v>8.7050676612400631E-3</v>
      </c>
      <c r="K22" s="11">
        <f t="shared" ca="1" si="2"/>
        <v>1.3157631939053905E-2</v>
      </c>
      <c r="L22" s="11">
        <f t="shared" ca="1" si="2"/>
        <v>1.1710302308099456E-3</v>
      </c>
      <c r="M22" s="11">
        <f t="shared" ca="1" si="2"/>
        <v>1.036859575872732E-2</v>
      </c>
      <c r="N22" s="11">
        <f t="shared" ca="1" si="2"/>
        <v>1.072105526486832E-2</v>
      </c>
      <c r="O22" s="11">
        <f t="shared" ca="1" si="2"/>
        <v>1.0862309408726453E-2</v>
      </c>
      <c r="P22" s="11">
        <f t="shared" ca="1" si="2"/>
        <v>2.4337466211587933E-3</v>
      </c>
      <c r="Q22" s="11">
        <f t="shared" ca="1" si="2"/>
        <v>1.8505659264695931E-3</v>
      </c>
      <c r="R22" s="11">
        <f t="shared" ca="1" si="3"/>
        <v>-1.0910185538665223E-3</v>
      </c>
      <c r="S22" s="11">
        <f t="shared" ca="1" si="3"/>
        <v>8.2063508554739706E-3</v>
      </c>
      <c r="T22" s="11">
        <f t="shared" ca="1" si="3"/>
        <v>2.0851729692593766E-2</v>
      </c>
      <c r="U22" s="11">
        <f t="shared" ca="1" si="3"/>
        <v>4.4359119300677964E-2</v>
      </c>
      <c r="V22" s="11"/>
    </row>
    <row r="26" spans="1:22" ht="25.5" x14ac:dyDescent="0.75">
      <c r="A26" s="21" t="s">
        <v>86</v>
      </c>
    </row>
    <row r="27" spans="1:22" ht="18" x14ac:dyDescent="0.55000000000000004">
      <c r="A27" s="10"/>
      <c r="B27" s="13" t="s">
        <v>63</v>
      </c>
      <c r="C27" s="13" t="s">
        <v>64</v>
      </c>
      <c r="D27" s="13" t="s">
        <v>65</v>
      </c>
      <c r="E27" s="13" t="s">
        <v>66</v>
      </c>
      <c r="F27" s="13" t="s">
        <v>67</v>
      </c>
      <c r="G27" s="13" t="s">
        <v>68</v>
      </c>
      <c r="H27" s="13" t="s">
        <v>69</v>
      </c>
      <c r="I27" s="13" t="s">
        <v>70</v>
      </c>
      <c r="J27" s="13" t="s">
        <v>71</v>
      </c>
      <c r="K27" s="13" t="s">
        <v>72</v>
      </c>
      <c r="L27" s="13" t="s">
        <v>73</v>
      </c>
      <c r="M27" s="13" t="s">
        <v>74</v>
      </c>
      <c r="N27" s="13" t="s">
        <v>75</v>
      </c>
      <c r="O27" s="13" t="s">
        <v>76</v>
      </c>
      <c r="P27" s="13" t="s">
        <v>77</v>
      </c>
      <c r="Q27" s="13" t="s">
        <v>78</v>
      </c>
      <c r="R27" s="13" t="s">
        <v>79</v>
      </c>
      <c r="S27" s="13" t="s">
        <v>81</v>
      </c>
      <c r="T27" s="13" t="s">
        <v>82</v>
      </c>
      <c r="U27" s="13" t="s">
        <v>111</v>
      </c>
    </row>
    <row r="28" spans="1:22" ht="18" x14ac:dyDescent="0.55000000000000004">
      <c r="A28" s="13" t="s">
        <v>63</v>
      </c>
      <c r="B28" s="11">
        <f ca="1">CORREL(INDIRECT($A28),INDIRECT(B$2))</f>
        <v>0.99999999999999978</v>
      </c>
      <c r="C28" s="11">
        <f t="shared" ref="C28:T43" ca="1" si="4">CORREL(INDIRECT($A28),INDIRECT(C$2))</f>
        <v>0.40929929699184114</v>
      </c>
      <c r="D28" s="11">
        <f t="shared" ca="1" si="4"/>
        <v>0.33412806305697884</v>
      </c>
      <c r="E28" s="11">
        <f t="shared" ca="1" si="4"/>
        <v>0.41618233055216142</v>
      </c>
      <c r="F28" s="11">
        <f t="shared" ca="1" si="4"/>
        <v>0.71563528224869322</v>
      </c>
      <c r="G28" s="11">
        <f t="shared" ca="1" si="4"/>
        <v>0.33138376260025437</v>
      </c>
      <c r="H28" s="11">
        <f t="shared" ca="1" si="4"/>
        <v>-0.20631308010745247</v>
      </c>
      <c r="I28" s="11">
        <f t="shared" ca="1" si="4"/>
        <v>0.50596957621079164</v>
      </c>
      <c r="J28" s="11">
        <f t="shared" ca="1" si="4"/>
        <v>0.570422334256383</v>
      </c>
      <c r="K28" s="11">
        <f t="shared" ca="1" si="4"/>
        <v>0.22920598114546939</v>
      </c>
      <c r="L28" s="11">
        <f t="shared" ca="1" si="4"/>
        <v>0.18624870580238073</v>
      </c>
      <c r="M28" s="11">
        <f t="shared" ca="1" si="4"/>
        <v>0.35924012601037442</v>
      </c>
      <c r="N28" s="11">
        <f t="shared" ca="1" si="4"/>
        <v>0.72428046409225777</v>
      </c>
      <c r="O28" s="11">
        <f t="shared" ca="1" si="4"/>
        <v>0.57390297973095539</v>
      </c>
      <c r="P28" s="11">
        <f t="shared" ca="1" si="4"/>
        <v>0.17524612297057679</v>
      </c>
      <c r="Q28" s="11">
        <f t="shared" ca="1" si="4"/>
        <v>0.35984165874357044</v>
      </c>
      <c r="R28" s="11">
        <f t="shared" ca="1" si="4"/>
        <v>5.7571607440091238E-2</v>
      </c>
      <c r="S28" s="11">
        <f t="shared" ca="1" si="4"/>
        <v>0.19202764815580822</v>
      </c>
      <c r="T28" s="11">
        <f t="shared" ca="1" si="4"/>
        <v>0.70809759030000263</v>
      </c>
      <c r="U28" s="11">
        <f t="shared" ref="U28:U46" ca="1" si="5">CORREL(INDIRECT($A28),INDIRECT(U$2))</f>
        <v>0.43234101350687087</v>
      </c>
    </row>
    <row r="29" spans="1:22" ht="18" x14ac:dyDescent="0.55000000000000004">
      <c r="A29" s="13" t="s">
        <v>64</v>
      </c>
      <c r="B29" s="11">
        <f t="shared" ref="B29:Q44" ca="1" si="6">CORREL(INDIRECT($A29),INDIRECT(B$2))</f>
        <v>0.40929929699184114</v>
      </c>
      <c r="C29" s="11">
        <f t="shared" ca="1" si="6"/>
        <v>1</v>
      </c>
      <c r="D29" s="11">
        <f t="shared" ca="1" si="6"/>
        <v>0.5739212935014234</v>
      </c>
      <c r="E29" s="11">
        <f t="shared" ca="1" si="6"/>
        <v>0.42809321814356766</v>
      </c>
      <c r="F29" s="11">
        <f t="shared" ca="1" si="6"/>
        <v>0.30029677774569413</v>
      </c>
      <c r="G29" s="11">
        <f t="shared" ca="1" si="6"/>
        <v>0.31603888575929517</v>
      </c>
      <c r="H29" s="11">
        <f t="shared" ca="1" si="6"/>
        <v>8.2422070035095246E-2</v>
      </c>
      <c r="I29" s="11">
        <f t="shared" ca="1" si="6"/>
        <v>0.36186983499745812</v>
      </c>
      <c r="J29" s="11">
        <f t="shared" ca="1" si="6"/>
        <v>0.41534268438774619</v>
      </c>
      <c r="K29" s="11">
        <f t="shared" ca="1" si="6"/>
        <v>0.15702750181653063</v>
      </c>
      <c r="L29" s="11">
        <f t="shared" ca="1" si="6"/>
        <v>4.7676978517003171E-2</v>
      </c>
      <c r="M29" s="11">
        <f t="shared" ca="1" si="6"/>
        <v>0.11279989743482535</v>
      </c>
      <c r="N29" s="11">
        <f t="shared" ca="1" si="6"/>
        <v>0.38474040896239065</v>
      </c>
      <c r="O29" s="11">
        <f t="shared" ca="1" si="6"/>
        <v>0.33891959031490781</v>
      </c>
      <c r="P29" s="11">
        <f t="shared" ca="1" si="6"/>
        <v>0.25913401177795187</v>
      </c>
      <c r="Q29" s="11">
        <f t="shared" ca="1" si="6"/>
        <v>2.738801831733606E-2</v>
      </c>
      <c r="R29" s="11">
        <f t="shared" ca="1" si="4"/>
        <v>7.608185236205553E-2</v>
      </c>
      <c r="S29" s="11">
        <f t="shared" ca="1" si="4"/>
        <v>0.13254506481176134</v>
      </c>
      <c r="T29" s="11">
        <f t="shared" ca="1" si="4"/>
        <v>0.48934779386311422</v>
      </c>
      <c r="U29" s="11">
        <f t="shared" ca="1" si="5"/>
        <v>0.31671033704575363</v>
      </c>
    </row>
    <row r="30" spans="1:22" ht="18" x14ac:dyDescent="0.55000000000000004">
      <c r="A30" s="13" t="s">
        <v>65</v>
      </c>
      <c r="B30" s="11">
        <f t="shared" ca="1" si="6"/>
        <v>0.33412806305697884</v>
      </c>
      <c r="C30" s="11">
        <f t="shared" ca="1" si="6"/>
        <v>0.5739212935014234</v>
      </c>
      <c r="D30" s="11">
        <f t="shared" ca="1" si="6"/>
        <v>1.0000000000000002</v>
      </c>
      <c r="E30" s="11">
        <f t="shared" ca="1" si="6"/>
        <v>0.36254000207343001</v>
      </c>
      <c r="F30" s="11">
        <f t="shared" ca="1" si="6"/>
        <v>0.22315150802441916</v>
      </c>
      <c r="G30" s="11">
        <f t="shared" ca="1" si="6"/>
        <v>0.44710144453467415</v>
      </c>
      <c r="H30" s="11">
        <f t="shared" ca="1" si="6"/>
        <v>0.10748941628509751</v>
      </c>
      <c r="I30" s="11">
        <f t="shared" ca="1" si="6"/>
        <v>0.38861261103827582</v>
      </c>
      <c r="J30" s="11">
        <f t="shared" ca="1" si="6"/>
        <v>0.30624581465361472</v>
      </c>
      <c r="K30" s="11">
        <f t="shared" ca="1" si="6"/>
        <v>8.3700031474484571E-2</v>
      </c>
      <c r="L30" s="11">
        <f t="shared" ca="1" si="6"/>
        <v>0.16104369456278531</v>
      </c>
      <c r="M30" s="11">
        <f t="shared" ca="1" si="6"/>
        <v>0.2703168618736087</v>
      </c>
      <c r="N30" s="11">
        <f t="shared" ca="1" si="6"/>
        <v>0.19372032412813556</v>
      </c>
      <c r="O30" s="11">
        <f t="shared" ca="1" si="6"/>
        <v>0.33458260263022499</v>
      </c>
      <c r="P30" s="11">
        <f t="shared" ca="1" si="6"/>
        <v>-8.4836756926690658E-3</v>
      </c>
      <c r="Q30" s="11">
        <f t="shared" ca="1" si="6"/>
        <v>0.23178459275135341</v>
      </c>
      <c r="R30" s="11">
        <f t="shared" ca="1" si="4"/>
        <v>7.6559241348936463E-2</v>
      </c>
      <c r="S30" s="11">
        <f t="shared" ca="1" si="4"/>
        <v>0.20302459432425723</v>
      </c>
      <c r="T30" s="11">
        <f t="shared" ca="1" si="4"/>
        <v>0.30979830914216544</v>
      </c>
      <c r="U30" s="11">
        <f t="shared" ca="1" si="5"/>
        <v>0.27298499097667595</v>
      </c>
    </row>
    <row r="31" spans="1:22" ht="18" x14ac:dyDescent="0.55000000000000004">
      <c r="A31" s="13" t="s">
        <v>66</v>
      </c>
      <c r="B31" s="11">
        <f t="shared" ca="1" si="6"/>
        <v>0.41618233055216142</v>
      </c>
      <c r="C31" s="11">
        <f t="shared" ca="1" si="6"/>
        <v>0.42809321814356766</v>
      </c>
      <c r="D31" s="11">
        <f t="shared" ca="1" si="6"/>
        <v>0.36254000207343001</v>
      </c>
      <c r="E31" s="11">
        <f t="shared" ca="1" si="6"/>
        <v>0.99999999999999989</v>
      </c>
      <c r="F31" s="11">
        <f t="shared" ca="1" si="6"/>
        <v>0.35550892605344303</v>
      </c>
      <c r="G31" s="11">
        <f t="shared" ca="1" si="6"/>
        <v>0.36940742762019152</v>
      </c>
      <c r="H31" s="11">
        <f t="shared" ca="1" si="6"/>
        <v>-0.25848504082773072</v>
      </c>
      <c r="I31" s="11">
        <f t="shared" ca="1" si="6"/>
        <v>0.50640923930842252</v>
      </c>
      <c r="J31" s="11">
        <f t="shared" ca="1" si="6"/>
        <v>0.57191610638951507</v>
      </c>
      <c r="K31" s="11">
        <f t="shared" ca="1" si="6"/>
        <v>0.40307293790356341</v>
      </c>
      <c r="L31" s="11">
        <f t="shared" ca="1" si="6"/>
        <v>0.30247695854906065</v>
      </c>
      <c r="M31" s="11">
        <f t="shared" ca="1" si="6"/>
        <v>0.20650235671955308</v>
      </c>
      <c r="N31" s="11">
        <f t="shared" ca="1" si="6"/>
        <v>0.31710864108394243</v>
      </c>
      <c r="O31" s="11">
        <f t="shared" ca="1" si="6"/>
        <v>0.38576836729239344</v>
      </c>
      <c r="P31" s="11">
        <f t="shared" ca="1" si="6"/>
        <v>0.18641207366939525</v>
      </c>
      <c r="Q31" s="11">
        <f t="shared" ca="1" si="6"/>
        <v>0.25164699703701848</v>
      </c>
      <c r="R31" s="11">
        <f t="shared" ca="1" si="4"/>
        <v>9.4326149510287796E-2</v>
      </c>
      <c r="S31" s="11">
        <f t="shared" ca="1" si="4"/>
        <v>0.18293996446119767</v>
      </c>
      <c r="T31" s="11">
        <f t="shared" ca="1" si="4"/>
        <v>0.49296000614439939</v>
      </c>
      <c r="U31" s="11">
        <f t="shared" ca="1" si="5"/>
        <v>0.51121471765832183</v>
      </c>
    </row>
    <row r="32" spans="1:22" ht="18" x14ac:dyDescent="0.55000000000000004">
      <c r="A32" s="13" t="s">
        <v>67</v>
      </c>
      <c r="B32" s="11">
        <f t="shared" ca="1" si="6"/>
        <v>0.71563528224869322</v>
      </c>
      <c r="C32" s="11">
        <f t="shared" ca="1" si="6"/>
        <v>0.30029677774569413</v>
      </c>
      <c r="D32" s="11">
        <f t="shared" ca="1" si="6"/>
        <v>0.22315150802441916</v>
      </c>
      <c r="E32" s="11">
        <f t="shared" ca="1" si="6"/>
        <v>0.35550892605344303</v>
      </c>
      <c r="F32" s="11">
        <f t="shared" ca="1" si="6"/>
        <v>1.0000000000000002</v>
      </c>
      <c r="G32" s="11">
        <f t="shared" ca="1" si="6"/>
        <v>0.33490504270699223</v>
      </c>
      <c r="H32" s="11">
        <f t="shared" ca="1" si="6"/>
        <v>-0.30826654155399069</v>
      </c>
      <c r="I32" s="11">
        <f t="shared" ca="1" si="6"/>
        <v>0.50710626236364154</v>
      </c>
      <c r="J32" s="11">
        <f t="shared" ca="1" si="6"/>
        <v>0.57767085109351857</v>
      </c>
      <c r="K32" s="11">
        <f t="shared" ca="1" si="6"/>
        <v>0.22899109603157417</v>
      </c>
      <c r="L32" s="11">
        <f t="shared" ca="1" si="6"/>
        <v>0.11511610345816718</v>
      </c>
      <c r="M32" s="11">
        <f t="shared" ca="1" si="6"/>
        <v>0.37912181481956581</v>
      </c>
      <c r="N32" s="11">
        <f t="shared" ca="1" si="6"/>
        <v>0.68947486206684017</v>
      </c>
      <c r="O32" s="11">
        <f t="shared" ca="1" si="6"/>
        <v>0.49790989392233737</v>
      </c>
      <c r="P32" s="11">
        <f t="shared" ca="1" si="6"/>
        <v>0.336421262417406</v>
      </c>
      <c r="Q32" s="11">
        <f t="shared" ca="1" si="6"/>
        <v>0.34729359726638992</v>
      </c>
      <c r="R32" s="11">
        <f t="shared" ca="1" si="4"/>
        <v>-4.0373836140223289E-3</v>
      </c>
      <c r="S32" s="11">
        <f t="shared" ca="1" si="4"/>
        <v>0.12728908801466679</v>
      </c>
      <c r="T32" s="11">
        <f t="shared" ca="1" si="4"/>
        <v>0.73327081038335507</v>
      </c>
      <c r="U32" s="11">
        <f t="shared" ca="1" si="5"/>
        <v>0.45621933061583964</v>
      </c>
    </row>
    <row r="33" spans="1:21" ht="18" x14ac:dyDescent="0.55000000000000004">
      <c r="A33" s="13" t="s">
        <v>68</v>
      </c>
      <c r="B33" s="11">
        <f t="shared" ca="1" si="6"/>
        <v>0.33138376260025437</v>
      </c>
      <c r="C33" s="11">
        <f t="shared" ca="1" si="6"/>
        <v>0.31603888575929517</v>
      </c>
      <c r="D33" s="11">
        <f t="shared" ca="1" si="6"/>
        <v>0.44710144453467415</v>
      </c>
      <c r="E33" s="11">
        <f t="shared" ca="1" si="6"/>
        <v>0.36940742762019152</v>
      </c>
      <c r="F33" s="11">
        <f t="shared" ca="1" si="6"/>
        <v>0.33490504270699223</v>
      </c>
      <c r="G33" s="11">
        <f t="shared" ca="1" si="6"/>
        <v>1</v>
      </c>
      <c r="H33" s="11">
        <f t="shared" ca="1" si="6"/>
        <v>-0.1045927904476322</v>
      </c>
      <c r="I33" s="11">
        <f t="shared" ca="1" si="6"/>
        <v>0.43771785101047195</v>
      </c>
      <c r="J33" s="11">
        <f t="shared" ca="1" si="6"/>
        <v>0.46150986791712972</v>
      </c>
      <c r="K33" s="11">
        <f t="shared" ca="1" si="6"/>
        <v>0.19108113090695031</v>
      </c>
      <c r="L33" s="11">
        <f t="shared" ca="1" si="6"/>
        <v>0.47741949274748025</v>
      </c>
      <c r="M33" s="11">
        <f t="shared" ca="1" si="6"/>
        <v>0.29273896480964856</v>
      </c>
      <c r="N33" s="11">
        <f t="shared" ca="1" si="6"/>
        <v>0.3549317637487423</v>
      </c>
      <c r="O33" s="11">
        <f t="shared" ca="1" si="6"/>
        <v>0.37038081808297574</v>
      </c>
      <c r="P33" s="11">
        <f t="shared" ca="1" si="6"/>
        <v>6.1283482341493022E-2</v>
      </c>
      <c r="Q33" s="11">
        <f t="shared" ca="1" si="6"/>
        <v>0.40853707497276454</v>
      </c>
      <c r="R33" s="11">
        <f t="shared" ca="1" si="4"/>
        <v>0.2433811891475591</v>
      </c>
      <c r="S33" s="11">
        <f t="shared" ca="1" si="4"/>
        <v>0.17467498857073518</v>
      </c>
      <c r="T33" s="11">
        <f t="shared" ca="1" si="4"/>
        <v>0.32162267384115256</v>
      </c>
      <c r="U33" s="11">
        <f t="shared" ca="1" si="5"/>
        <v>0.10102823337357882</v>
      </c>
    </row>
    <row r="34" spans="1:21" ht="18" x14ac:dyDescent="0.55000000000000004">
      <c r="A34" s="13" t="s">
        <v>69</v>
      </c>
      <c r="B34" s="11">
        <f t="shared" ca="1" si="6"/>
        <v>-0.20631308010745247</v>
      </c>
      <c r="C34" s="11">
        <f t="shared" ca="1" si="6"/>
        <v>8.2422070035095246E-2</v>
      </c>
      <c r="D34" s="11">
        <f t="shared" ca="1" si="6"/>
        <v>0.10748941628509751</v>
      </c>
      <c r="E34" s="11">
        <f t="shared" ca="1" si="6"/>
        <v>-0.25848504082773072</v>
      </c>
      <c r="F34" s="11">
        <f t="shared" ca="1" si="6"/>
        <v>-0.30826654155399069</v>
      </c>
      <c r="G34" s="11">
        <f t="shared" ca="1" si="6"/>
        <v>-0.1045927904476322</v>
      </c>
      <c r="H34" s="11">
        <f t="shared" ca="1" si="6"/>
        <v>0.99999999999999978</v>
      </c>
      <c r="I34" s="11">
        <f t="shared" ca="1" si="6"/>
        <v>-0.46206030357037098</v>
      </c>
      <c r="J34" s="11">
        <f t="shared" ca="1" si="6"/>
        <v>-0.57226051072067852</v>
      </c>
      <c r="K34" s="11">
        <f t="shared" ca="1" si="6"/>
        <v>-0.18696501742474125</v>
      </c>
      <c r="L34" s="11">
        <f t="shared" ca="1" si="6"/>
        <v>3.3562497041844441E-2</v>
      </c>
      <c r="M34" s="11">
        <f t="shared" ca="1" si="6"/>
        <v>-4.2468926152545418E-2</v>
      </c>
      <c r="N34" s="11">
        <f t="shared" ca="1" si="6"/>
        <v>-0.23526026284857623</v>
      </c>
      <c r="O34" s="11">
        <f t="shared" ca="1" si="6"/>
        <v>-0.16418052336851788</v>
      </c>
      <c r="P34" s="11">
        <f t="shared" ca="1" si="6"/>
        <v>-3.4851688107264092E-2</v>
      </c>
      <c r="Q34" s="11">
        <f t="shared" ca="1" si="6"/>
        <v>5.9791179084439636E-2</v>
      </c>
      <c r="R34" s="11">
        <f t="shared" ca="1" si="4"/>
        <v>0.22311417059734948</v>
      </c>
      <c r="S34" s="11">
        <f t="shared" ca="1" si="4"/>
        <v>-0.17934652192041609</v>
      </c>
      <c r="T34" s="11">
        <f t="shared" ca="1" si="4"/>
        <v>-0.22567776206473075</v>
      </c>
      <c r="U34" s="11">
        <f t="shared" ca="1" si="5"/>
        <v>-0.20025724420719335</v>
      </c>
    </row>
    <row r="35" spans="1:21" ht="18" x14ac:dyDescent="0.55000000000000004">
      <c r="A35" s="13" t="s">
        <v>70</v>
      </c>
      <c r="B35" s="11">
        <f t="shared" ca="1" si="6"/>
        <v>0.50596957621079164</v>
      </c>
      <c r="C35" s="11">
        <f t="shared" ca="1" si="6"/>
        <v>0.36186983499745812</v>
      </c>
      <c r="D35" s="11">
        <f t="shared" ca="1" si="6"/>
        <v>0.38861261103827582</v>
      </c>
      <c r="E35" s="11">
        <f t="shared" ca="1" si="6"/>
        <v>0.50640923930842252</v>
      </c>
      <c r="F35" s="11">
        <f t="shared" ca="1" si="6"/>
        <v>0.50710626236364154</v>
      </c>
      <c r="G35" s="11">
        <f t="shared" ca="1" si="6"/>
        <v>0.43771785101047195</v>
      </c>
      <c r="H35" s="11">
        <f t="shared" ca="1" si="6"/>
        <v>-0.46206030357037098</v>
      </c>
      <c r="I35" s="11">
        <f t="shared" ca="1" si="6"/>
        <v>1</v>
      </c>
      <c r="J35" s="11">
        <f t="shared" ca="1" si="6"/>
        <v>0.59129763430137439</v>
      </c>
      <c r="K35" s="11">
        <f t="shared" ca="1" si="6"/>
        <v>0.36491689540193206</v>
      </c>
      <c r="L35" s="11">
        <f t="shared" ca="1" si="6"/>
        <v>0.39026420596088002</v>
      </c>
      <c r="M35" s="11">
        <f t="shared" ca="1" si="6"/>
        <v>0.25977235367813994</v>
      </c>
      <c r="N35" s="11">
        <f t="shared" ca="1" si="6"/>
        <v>0.47154040604113251</v>
      </c>
      <c r="O35" s="11">
        <f t="shared" ca="1" si="6"/>
        <v>0.43826622147703626</v>
      </c>
      <c r="P35" s="11">
        <f t="shared" ca="1" si="6"/>
        <v>0.26580437484508795</v>
      </c>
      <c r="Q35" s="11">
        <f t="shared" ca="1" si="6"/>
        <v>0.3822764239237621</v>
      </c>
      <c r="R35" s="11">
        <f t="shared" ca="1" si="4"/>
        <v>0.1921161512413605</v>
      </c>
      <c r="S35" s="11">
        <f t="shared" ca="1" si="4"/>
        <v>0.14322436690242207</v>
      </c>
      <c r="T35" s="11">
        <f t="shared" ca="1" si="4"/>
        <v>0.44516569963754449</v>
      </c>
      <c r="U35" s="11">
        <f t="shared" ca="1" si="5"/>
        <v>0.25514151069924479</v>
      </c>
    </row>
    <row r="36" spans="1:21" ht="18" x14ac:dyDescent="0.55000000000000004">
      <c r="A36" s="13" t="s">
        <v>71</v>
      </c>
      <c r="B36" s="11">
        <f t="shared" ca="1" si="6"/>
        <v>0.570422334256383</v>
      </c>
      <c r="C36" s="11">
        <f t="shared" ca="1" si="6"/>
        <v>0.41534268438774619</v>
      </c>
      <c r="D36" s="11">
        <f t="shared" ca="1" si="6"/>
        <v>0.30624581465361472</v>
      </c>
      <c r="E36" s="11">
        <f t="shared" ca="1" si="6"/>
        <v>0.57191610638951507</v>
      </c>
      <c r="F36" s="11">
        <f t="shared" ca="1" si="6"/>
        <v>0.57767085109351857</v>
      </c>
      <c r="G36" s="11">
        <f t="shared" ca="1" si="6"/>
        <v>0.46150986791712972</v>
      </c>
      <c r="H36" s="11">
        <f t="shared" ca="1" si="6"/>
        <v>-0.57226051072067852</v>
      </c>
      <c r="I36" s="11">
        <f t="shared" ca="1" si="6"/>
        <v>0.59129763430137439</v>
      </c>
      <c r="J36" s="11">
        <f t="shared" ca="1" si="6"/>
        <v>1</v>
      </c>
      <c r="K36" s="11">
        <f t="shared" ca="1" si="6"/>
        <v>0.43991296468985508</v>
      </c>
      <c r="L36" s="11">
        <f t="shared" ca="1" si="6"/>
        <v>0.26807200584432983</v>
      </c>
      <c r="M36" s="11">
        <f t="shared" ca="1" si="6"/>
        <v>0.45744417209871874</v>
      </c>
      <c r="N36" s="11">
        <f t="shared" ca="1" si="6"/>
        <v>0.5322854928356261</v>
      </c>
      <c r="O36" s="11">
        <f t="shared" ca="1" si="6"/>
        <v>0.55968950319736854</v>
      </c>
      <c r="P36" s="11">
        <f t="shared" ca="1" si="6"/>
        <v>0.32449143308627904</v>
      </c>
      <c r="Q36" s="11">
        <f t="shared" ca="1" si="6"/>
        <v>0.21680036123455873</v>
      </c>
      <c r="R36" s="11">
        <f t="shared" ca="1" si="4"/>
        <v>-6.224629502605817E-2</v>
      </c>
      <c r="S36" s="11">
        <f t="shared" ca="1" si="4"/>
        <v>0.35455694014628047</v>
      </c>
      <c r="T36" s="11">
        <f t="shared" ca="1" si="4"/>
        <v>0.73945361443253999</v>
      </c>
      <c r="U36" s="11">
        <f t="shared" ca="1" si="5"/>
        <v>0.45129810598681896</v>
      </c>
    </row>
    <row r="37" spans="1:21" ht="18" x14ac:dyDescent="0.55000000000000004">
      <c r="A37" s="13" t="s">
        <v>72</v>
      </c>
      <c r="B37" s="11">
        <f t="shared" ca="1" si="6"/>
        <v>0.22920598114546939</v>
      </c>
      <c r="C37" s="11">
        <f t="shared" ca="1" si="6"/>
        <v>0.15702750181653063</v>
      </c>
      <c r="D37" s="11">
        <f t="shared" ca="1" si="6"/>
        <v>8.3700031474484571E-2</v>
      </c>
      <c r="E37" s="11">
        <f t="shared" ca="1" si="6"/>
        <v>0.40307293790356341</v>
      </c>
      <c r="F37" s="11">
        <f t="shared" ca="1" si="6"/>
        <v>0.22899109603157417</v>
      </c>
      <c r="G37" s="11">
        <f t="shared" ca="1" si="6"/>
        <v>0.19108113090695031</v>
      </c>
      <c r="H37" s="11">
        <f t="shared" ca="1" si="6"/>
        <v>-0.18696501742474125</v>
      </c>
      <c r="I37" s="11">
        <f t="shared" ca="1" si="6"/>
        <v>0.36491689540193206</v>
      </c>
      <c r="J37" s="11">
        <f t="shared" ca="1" si="6"/>
        <v>0.43991296468985508</v>
      </c>
      <c r="K37" s="11">
        <f t="shared" ca="1" si="6"/>
        <v>1</v>
      </c>
      <c r="L37" s="11">
        <f t="shared" ca="1" si="6"/>
        <v>0.22911556459633814</v>
      </c>
      <c r="M37" s="11">
        <f t="shared" ca="1" si="6"/>
        <v>0.34217338736003533</v>
      </c>
      <c r="N37" s="11">
        <f t="shared" ca="1" si="6"/>
        <v>0.12658209885720464</v>
      </c>
      <c r="O37" s="11">
        <f t="shared" ca="1" si="6"/>
        <v>0.21553744552630069</v>
      </c>
      <c r="P37" s="11">
        <f t="shared" ca="1" si="6"/>
        <v>0.22659799209979037</v>
      </c>
      <c r="Q37" s="11">
        <f t="shared" ca="1" si="6"/>
        <v>0.26320692940202811</v>
      </c>
      <c r="R37" s="11">
        <f t="shared" ca="1" si="4"/>
        <v>0.1475536010270781</v>
      </c>
      <c r="S37" s="11">
        <f t="shared" ca="1" si="4"/>
        <v>0.13323225593923502</v>
      </c>
      <c r="T37" s="11">
        <f t="shared" ca="1" si="4"/>
        <v>0.29726401568943306</v>
      </c>
      <c r="U37" s="11">
        <f t="shared" ca="1" si="5"/>
        <v>0.1969183323685213</v>
      </c>
    </row>
    <row r="38" spans="1:21" ht="18" x14ac:dyDescent="0.55000000000000004">
      <c r="A38" s="13" t="s">
        <v>73</v>
      </c>
      <c r="B38" s="11">
        <f t="shared" ca="1" si="6"/>
        <v>0.18624870580238073</v>
      </c>
      <c r="C38" s="11">
        <f t="shared" ca="1" si="6"/>
        <v>4.7676978517003171E-2</v>
      </c>
      <c r="D38" s="11">
        <f t="shared" ca="1" si="6"/>
        <v>0.16104369456278531</v>
      </c>
      <c r="E38" s="11">
        <f t="shared" ca="1" si="6"/>
        <v>0.30247695854906065</v>
      </c>
      <c r="F38" s="11">
        <f t="shared" ca="1" si="6"/>
        <v>0.11511610345816718</v>
      </c>
      <c r="G38" s="11">
        <f t="shared" ca="1" si="6"/>
        <v>0.47741949274748025</v>
      </c>
      <c r="H38" s="11">
        <f t="shared" ca="1" si="6"/>
        <v>3.3562497041844441E-2</v>
      </c>
      <c r="I38" s="11">
        <f t="shared" ca="1" si="6"/>
        <v>0.39026420596088002</v>
      </c>
      <c r="J38" s="11">
        <f t="shared" ca="1" si="6"/>
        <v>0.26807200584432983</v>
      </c>
      <c r="K38" s="11">
        <f t="shared" ca="1" si="6"/>
        <v>0.22911556459633814</v>
      </c>
      <c r="L38" s="11">
        <f t="shared" ca="1" si="6"/>
        <v>1</v>
      </c>
      <c r="M38" s="11">
        <f t="shared" ca="1" si="6"/>
        <v>0.19889451848784698</v>
      </c>
      <c r="N38" s="11">
        <f t="shared" ca="1" si="6"/>
        <v>0.1557638491720236</v>
      </c>
      <c r="O38" s="11">
        <f t="shared" ca="1" si="6"/>
        <v>0.31181636821655839</v>
      </c>
      <c r="P38" s="11">
        <f t="shared" ca="1" si="6"/>
        <v>4.5126673849839607E-2</v>
      </c>
      <c r="Q38" s="11">
        <f t="shared" ca="1" si="6"/>
        <v>0.28860831653584929</v>
      </c>
      <c r="R38" s="11">
        <f t="shared" ca="1" si="4"/>
        <v>0.22067961881316289</v>
      </c>
      <c r="S38" s="11">
        <f t="shared" ca="1" si="4"/>
        <v>0.2668729767644562</v>
      </c>
      <c r="T38" s="11">
        <f t="shared" ca="1" si="4"/>
        <v>0.20658490562695131</v>
      </c>
      <c r="U38" s="11">
        <f t="shared" ca="1" si="5"/>
        <v>7.1504393769677543E-2</v>
      </c>
    </row>
    <row r="39" spans="1:21" ht="18" x14ac:dyDescent="0.55000000000000004">
      <c r="A39" s="13" t="s">
        <v>74</v>
      </c>
      <c r="B39" s="11">
        <f t="shared" ca="1" si="6"/>
        <v>0.35924012601037442</v>
      </c>
      <c r="C39" s="11">
        <f t="shared" ca="1" si="6"/>
        <v>0.11279989743482535</v>
      </c>
      <c r="D39" s="11">
        <f t="shared" ca="1" si="6"/>
        <v>0.2703168618736087</v>
      </c>
      <c r="E39" s="11">
        <f t="shared" ca="1" si="6"/>
        <v>0.20650235671955308</v>
      </c>
      <c r="F39" s="11">
        <f t="shared" ca="1" si="6"/>
        <v>0.37912181481956581</v>
      </c>
      <c r="G39" s="11">
        <f t="shared" ca="1" si="6"/>
        <v>0.29273896480964856</v>
      </c>
      <c r="H39" s="11">
        <f t="shared" ca="1" si="6"/>
        <v>-4.2468926152545418E-2</v>
      </c>
      <c r="I39" s="11">
        <f t="shared" ca="1" si="6"/>
        <v>0.25977235367813994</v>
      </c>
      <c r="J39" s="11">
        <f t="shared" ca="1" si="6"/>
        <v>0.45744417209871874</v>
      </c>
      <c r="K39" s="11">
        <f t="shared" ca="1" si="6"/>
        <v>0.34217338736003533</v>
      </c>
      <c r="L39" s="11">
        <f t="shared" ca="1" si="6"/>
        <v>0.19889451848784698</v>
      </c>
      <c r="M39" s="11">
        <f t="shared" ca="1" si="6"/>
        <v>0.99999999999999989</v>
      </c>
      <c r="N39" s="11">
        <f t="shared" ca="1" si="6"/>
        <v>0.43746464981872479</v>
      </c>
      <c r="O39" s="11">
        <f t="shared" ca="1" si="6"/>
        <v>0.49331551166956333</v>
      </c>
      <c r="P39" s="11">
        <f t="shared" ca="1" si="6"/>
        <v>0.26179386408604538</v>
      </c>
      <c r="Q39" s="11">
        <f t="shared" ca="1" si="6"/>
        <v>0.26391541771981603</v>
      </c>
      <c r="R39" s="11">
        <f t="shared" ca="1" si="4"/>
        <v>5.6883853159930498E-2</v>
      </c>
      <c r="S39" s="11">
        <f t="shared" ca="1" si="4"/>
        <v>0.11943755810007187</v>
      </c>
      <c r="T39" s="11">
        <f t="shared" ca="1" si="4"/>
        <v>0.46239170873241042</v>
      </c>
      <c r="U39" s="11">
        <f t="shared" ca="1" si="5"/>
        <v>0.2875021571727282</v>
      </c>
    </row>
    <row r="40" spans="1:21" ht="18" x14ac:dyDescent="0.55000000000000004">
      <c r="A40" s="13" t="s">
        <v>75</v>
      </c>
      <c r="B40" s="11">
        <f t="shared" ca="1" si="6"/>
        <v>0.72428046409225777</v>
      </c>
      <c r="C40" s="11">
        <f t="shared" ca="1" si="6"/>
        <v>0.38474040896239065</v>
      </c>
      <c r="D40" s="11">
        <f t="shared" ca="1" si="6"/>
        <v>0.19372032412813556</v>
      </c>
      <c r="E40" s="11">
        <f t="shared" ca="1" si="6"/>
        <v>0.31710864108394243</v>
      </c>
      <c r="F40" s="11">
        <f t="shared" ca="1" si="6"/>
        <v>0.68947486206684017</v>
      </c>
      <c r="G40" s="11">
        <f t="shared" ca="1" si="6"/>
        <v>0.3549317637487423</v>
      </c>
      <c r="H40" s="11">
        <f t="shared" ca="1" si="6"/>
        <v>-0.23526026284857623</v>
      </c>
      <c r="I40" s="11">
        <f t="shared" ca="1" si="6"/>
        <v>0.47154040604113251</v>
      </c>
      <c r="J40" s="11">
        <f t="shared" ca="1" si="6"/>
        <v>0.5322854928356261</v>
      </c>
      <c r="K40" s="11">
        <f t="shared" ca="1" si="6"/>
        <v>0.12658209885720464</v>
      </c>
      <c r="L40" s="11">
        <f t="shared" ca="1" si="6"/>
        <v>0.1557638491720236</v>
      </c>
      <c r="M40" s="11">
        <f t="shared" ca="1" si="6"/>
        <v>0.43746464981872479</v>
      </c>
      <c r="N40" s="11">
        <f t="shared" ca="1" si="6"/>
        <v>0.99999999999999989</v>
      </c>
      <c r="O40" s="11">
        <f t="shared" ca="1" si="6"/>
        <v>0.62556695242842375</v>
      </c>
      <c r="P40" s="11">
        <f t="shared" ca="1" si="6"/>
        <v>0.25229332605335936</v>
      </c>
      <c r="Q40" s="11">
        <f t="shared" ca="1" si="6"/>
        <v>0.29592592435232679</v>
      </c>
      <c r="R40" s="11">
        <f t="shared" ca="1" si="4"/>
        <v>0.18872506870743033</v>
      </c>
      <c r="S40" s="11">
        <f t="shared" ca="1" si="4"/>
        <v>0.15811626454500136</v>
      </c>
      <c r="T40" s="11">
        <f t="shared" ca="1" si="4"/>
        <v>0.69147687014421511</v>
      </c>
      <c r="U40" s="11">
        <f t="shared" ca="1" si="5"/>
        <v>0.34734797371431425</v>
      </c>
    </row>
    <row r="41" spans="1:21" ht="18" x14ac:dyDescent="0.55000000000000004">
      <c r="A41" s="13" t="s">
        <v>76</v>
      </c>
      <c r="B41" s="11">
        <f t="shared" ca="1" si="6"/>
        <v>0.57390297973095539</v>
      </c>
      <c r="C41" s="11">
        <f t="shared" ca="1" si="6"/>
        <v>0.33891959031490781</v>
      </c>
      <c r="D41" s="11">
        <f t="shared" ca="1" si="6"/>
        <v>0.33458260263022499</v>
      </c>
      <c r="E41" s="11">
        <f t="shared" ca="1" si="6"/>
        <v>0.38576836729239344</v>
      </c>
      <c r="F41" s="11">
        <f t="shared" ca="1" si="6"/>
        <v>0.49790989392233737</v>
      </c>
      <c r="G41" s="11">
        <f t="shared" ca="1" si="6"/>
        <v>0.37038081808297574</v>
      </c>
      <c r="H41" s="11">
        <f t="shared" ca="1" si="6"/>
        <v>-0.16418052336851788</v>
      </c>
      <c r="I41" s="11">
        <f t="shared" ca="1" si="6"/>
        <v>0.43826622147703626</v>
      </c>
      <c r="J41" s="11">
        <f t="shared" ca="1" si="6"/>
        <v>0.55968950319736854</v>
      </c>
      <c r="K41" s="11">
        <f t="shared" ca="1" si="6"/>
        <v>0.21553744552630069</v>
      </c>
      <c r="L41" s="11">
        <f t="shared" ca="1" si="6"/>
        <v>0.31181636821655839</v>
      </c>
      <c r="M41" s="11">
        <f t="shared" ca="1" si="6"/>
        <v>0.49331551166956333</v>
      </c>
      <c r="N41" s="11">
        <f t="shared" ca="1" si="6"/>
        <v>0.62556695242842375</v>
      </c>
      <c r="O41" s="11">
        <f t="shared" ca="1" si="6"/>
        <v>0.99999999999999978</v>
      </c>
      <c r="P41" s="11">
        <f t="shared" ca="1" si="6"/>
        <v>0.31621902123157719</v>
      </c>
      <c r="Q41" s="11">
        <f t="shared" ca="1" si="6"/>
        <v>0.1943197958777749</v>
      </c>
      <c r="R41" s="11">
        <f t="shared" ca="1" si="4"/>
        <v>5.8357229632073737E-2</v>
      </c>
      <c r="S41" s="11">
        <f t="shared" ca="1" si="4"/>
        <v>0.33358690661949891</v>
      </c>
      <c r="T41" s="11">
        <f t="shared" ca="1" si="4"/>
        <v>0.64675249436330462</v>
      </c>
      <c r="U41" s="11">
        <f t="shared" ca="1" si="5"/>
        <v>0.38593500934210717</v>
      </c>
    </row>
    <row r="42" spans="1:21" ht="18" x14ac:dyDescent="0.55000000000000004">
      <c r="A42" s="13" t="s">
        <v>77</v>
      </c>
      <c r="B42" s="11">
        <f t="shared" ca="1" si="6"/>
        <v>0.17524612297057679</v>
      </c>
      <c r="C42" s="11">
        <f t="shared" ca="1" si="6"/>
        <v>0.25913401177795187</v>
      </c>
      <c r="D42" s="11">
        <f t="shared" ca="1" si="6"/>
        <v>-8.4836756926690658E-3</v>
      </c>
      <c r="E42" s="11">
        <f t="shared" ca="1" si="6"/>
        <v>0.18641207366939525</v>
      </c>
      <c r="F42" s="11">
        <f t="shared" ca="1" si="6"/>
        <v>0.336421262417406</v>
      </c>
      <c r="G42" s="11">
        <f t="shared" ca="1" si="6"/>
        <v>6.1283482341493022E-2</v>
      </c>
      <c r="H42" s="11">
        <f t="shared" ca="1" si="6"/>
        <v>-3.4851688107264092E-2</v>
      </c>
      <c r="I42" s="11">
        <f t="shared" ca="1" si="6"/>
        <v>0.26580437484508795</v>
      </c>
      <c r="J42" s="11">
        <f t="shared" ca="1" si="6"/>
        <v>0.32449143308627904</v>
      </c>
      <c r="K42" s="11">
        <f t="shared" ca="1" si="6"/>
        <v>0.22659799209979037</v>
      </c>
      <c r="L42" s="11">
        <f t="shared" ca="1" si="6"/>
        <v>4.5126673849839607E-2</v>
      </c>
      <c r="M42" s="11">
        <f t="shared" ca="1" si="6"/>
        <v>0.26179386408604538</v>
      </c>
      <c r="N42" s="11">
        <f t="shared" ca="1" si="6"/>
        <v>0.25229332605335936</v>
      </c>
      <c r="O42" s="11">
        <f t="shared" ca="1" si="6"/>
        <v>0.31621902123157719</v>
      </c>
      <c r="P42" s="11">
        <f t="shared" ca="1" si="6"/>
        <v>1.0000000000000002</v>
      </c>
      <c r="Q42" s="11">
        <f t="shared" ca="1" si="6"/>
        <v>-2.4325036155092992E-2</v>
      </c>
      <c r="R42" s="11">
        <f t="shared" ca="1" si="4"/>
        <v>0.14185378510662336</v>
      </c>
      <c r="S42" s="11">
        <f t="shared" ca="1" si="4"/>
        <v>2.1011928403832942E-2</v>
      </c>
      <c r="T42" s="11">
        <f t="shared" ca="1" si="4"/>
        <v>0.37682803733866488</v>
      </c>
      <c r="U42" s="11">
        <f t="shared" ca="1" si="5"/>
        <v>0.11506609766691592</v>
      </c>
    </row>
    <row r="43" spans="1:21" ht="18" x14ac:dyDescent="0.55000000000000004">
      <c r="A43" s="13" t="s">
        <v>78</v>
      </c>
      <c r="B43" s="11">
        <f t="shared" ca="1" si="6"/>
        <v>0.35984165874357044</v>
      </c>
      <c r="C43" s="11">
        <f t="shared" ca="1" si="6"/>
        <v>2.738801831733606E-2</v>
      </c>
      <c r="D43" s="11">
        <f t="shared" ca="1" si="6"/>
        <v>0.23178459275135341</v>
      </c>
      <c r="E43" s="11">
        <f t="shared" ca="1" si="6"/>
        <v>0.25164699703701848</v>
      </c>
      <c r="F43" s="11">
        <f t="shared" ca="1" si="6"/>
        <v>0.34729359726638992</v>
      </c>
      <c r="G43" s="11">
        <f t="shared" ca="1" si="6"/>
        <v>0.40853707497276454</v>
      </c>
      <c r="H43" s="11">
        <f t="shared" ca="1" si="6"/>
        <v>5.9791179084439636E-2</v>
      </c>
      <c r="I43" s="11">
        <f t="shared" ca="1" si="6"/>
        <v>0.3822764239237621</v>
      </c>
      <c r="J43" s="11">
        <f t="shared" ca="1" si="6"/>
        <v>0.21680036123455873</v>
      </c>
      <c r="K43" s="11">
        <f t="shared" ca="1" si="6"/>
        <v>0.26320692940202811</v>
      </c>
      <c r="L43" s="11">
        <f t="shared" ca="1" si="6"/>
        <v>0.28860831653584929</v>
      </c>
      <c r="M43" s="11">
        <f t="shared" ca="1" si="6"/>
        <v>0.26391541771981603</v>
      </c>
      <c r="N43" s="11">
        <f t="shared" ca="1" si="6"/>
        <v>0.29592592435232679</v>
      </c>
      <c r="O43" s="11">
        <f t="shared" ca="1" si="6"/>
        <v>0.1943197958777749</v>
      </c>
      <c r="P43" s="11">
        <f t="shared" ca="1" si="6"/>
        <v>-2.4325036155092992E-2</v>
      </c>
      <c r="Q43" s="11">
        <f t="shared" ca="1" si="6"/>
        <v>1</v>
      </c>
      <c r="R43" s="11">
        <f t="shared" ca="1" si="4"/>
        <v>0.18776039593665197</v>
      </c>
      <c r="S43" s="11">
        <f t="shared" ca="1" si="4"/>
        <v>2.3903599062026298E-2</v>
      </c>
      <c r="T43" s="11">
        <f t="shared" ca="1" si="4"/>
        <v>0.25410364310460803</v>
      </c>
      <c r="U43" s="11">
        <f t="shared" ca="1" si="5"/>
        <v>8.0091364580104379E-2</v>
      </c>
    </row>
    <row r="44" spans="1:21" ht="18" x14ac:dyDescent="0.55000000000000004">
      <c r="A44" s="13" t="s">
        <v>79</v>
      </c>
      <c r="B44" s="11">
        <f t="shared" ca="1" si="6"/>
        <v>5.7571607440091238E-2</v>
      </c>
      <c r="C44" s="11">
        <f t="shared" ca="1" si="6"/>
        <v>7.608185236205553E-2</v>
      </c>
      <c r="D44" s="11">
        <f t="shared" ca="1" si="6"/>
        <v>7.6559241348936463E-2</v>
      </c>
      <c r="E44" s="11">
        <f t="shared" ca="1" si="6"/>
        <v>9.4326149510287796E-2</v>
      </c>
      <c r="F44" s="11">
        <f t="shared" ca="1" si="6"/>
        <v>-4.0373836140223289E-3</v>
      </c>
      <c r="G44" s="11">
        <f t="shared" ca="1" si="6"/>
        <v>0.2433811891475591</v>
      </c>
      <c r="H44" s="11">
        <f t="shared" ca="1" si="6"/>
        <v>0.22311417059734948</v>
      </c>
      <c r="I44" s="11">
        <f t="shared" ca="1" si="6"/>
        <v>0.1921161512413605</v>
      </c>
      <c r="J44" s="11">
        <f t="shared" ca="1" si="6"/>
        <v>-6.224629502605817E-2</v>
      </c>
      <c r="K44" s="11">
        <f t="shared" ca="1" si="6"/>
        <v>0.1475536010270781</v>
      </c>
      <c r="L44" s="11">
        <f t="shared" ca="1" si="6"/>
        <v>0.22067961881316289</v>
      </c>
      <c r="M44" s="11">
        <f t="shared" ca="1" si="6"/>
        <v>5.6883853159930498E-2</v>
      </c>
      <c r="N44" s="11">
        <f t="shared" ca="1" si="6"/>
        <v>0.18872506870743033</v>
      </c>
      <c r="O44" s="11">
        <f t="shared" ca="1" si="6"/>
        <v>5.8357229632073737E-2</v>
      </c>
      <c r="P44" s="11">
        <f t="shared" ca="1" si="6"/>
        <v>0.14185378510662336</v>
      </c>
      <c r="Q44" s="11">
        <f t="shared" ref="Q44:U47" ca="1" si="7">CORREL(INDIRECT($A44),INDIRECT(Q$2))</f>
        <v>0.18776039593665197</v>
      </c>
      <c r="R44" s="11">
        <f t="shared" ca="1" si="7"/>
        <v>0.99999999999999989</v>
      </c>
      <c r="S44" s="11">
        <f t="shared" ca="1" si="7"/>
        <v>0.15099598844412596</v>
      </c>
      <c r="T44" s="11">
        <f t="shared" ca="1" si="7"/>
        <v>-5.2292744006597308E-2</v>
      </c>
      <c r="U44" s="11">
        <f t="shared" ca="1" si="5"/>
        <v>-9.5243892247388648E-2</v>
      </c>
    </row>
    <row r="45" spans="1:21" ht="18" x14ac:dyDescent="0.55000000000000004">
      <c r="A45" s="13" t="s">
        <v>81</v>
      </c>
      <c r="B45" s="11">
        <f t="shared" ref="B45:Q47" ca="1" si="8">CORREL(INDIRECT($A45),INDIRECT(B$2))</f>
        <v>0.19202764815580822</v>
      </c>
      <c r="C45" s="11">
        <f t="shared" ca="1" si="8"/>
        <v>0.13254506481176134</v>
      </c>
      <c r="D45" s="11">
        <f t="shared" ca="1" si="8"/>
        <v>0.20302459432425723</v>
      </c>
      <c r="E45" s="11">
        <f t="shared" ca="1" si="8"/>
        <v>0.18293996446119767</v>
      </c>
      <c r="F45" s="11">
        <f t="shared" ca="1" si="8"/>
        <v>0.12728908801466679</v>
      </c>
      <c r="G45" s="11">
        <f t="shared" ca="1" si="8"/>
        <v>0.17467498857073518</v>
      </c>
      <c r="H45" s="11">
        <f t="shared" ca="1" si="8"/>
        <v>-0.17934652192041609</v>
      </c>
      <c r="I45" s="11">
        <f t="shared" ca="1" si="8"/>
        <v>0.14322436690242207</v>
      </c>
      <c r="J45" s="11">
        <f t="shared" ca="1" si="8"/>
        <v>0.35455694014628047</v>
      </c>
      <c r="K45" s="11">
        <f t="shared" ca="1" si="8"/>
        <v>0.13323225593923502</v>
      </c>
      <c r="L45" s="11">
        <f t="shared" ca="1" si="8"/>
        <v>0.2668729767644562</v>
      </c>
      <c r="M45" s="11">
        <f t="shared" ca="1" si="8"/>
        <v>0.11943755810007187</v>
      </c>
      <c r="N45" s="11">
        <f t="shared" ca="1" si="8"/>
        <v>0.15811626454500136</v>
      </c>
      <c r="O45" s="11">
        <f t="shared" ca="1" si="8"/>
        <v>0.33358690661949891</v>
      </c>
      <c r="P45" s="11">
        <f t="shared" ca="1" si="8"/>
        <v>2.1011928403832942E-2</v>
      </c>
      <c r="Q45" s="11">
        <f t="shared" ca="1" si="8"/>
        <v>2.3903599062026298E-2</v>
      </c>
      <c r="R45" s="11">
        <f t="shared" ca="1" si="7"/>
        <v>0.15099598844412596</v>
      </c>
      <c r="S45" s="11">
        <f t="shared" ca="1" si="7"/>
        <v>0.99999999999999989</v>
      </c>
      <c r="T45" s="11">
        <f t="shared" ca="1" si="7"/>
        <v>0.20527407136778655</v>
      </c>
      <c r="U45" s="11">
        <f t="shared" ca="1" si="5"/>
        <v>0.23415598558724915</v>
      </c>
    </row>
    <row r="46" spans="1:21" ht="18" x14ac:dyDescent="0.55000000000000004">
      <c r="A46" s="13" t="s">
        <v>82</v>
      </c>
      <c r="B46" s="11">
        <f t="shared" ca="1" si="8"/>
        <v>0.70809759030000263</v>
      </c>
      <c r="C46" s="11">
        <f t="shared" ca="1" si="8"/>
        <v>0.48934779386311422</v>
      </c>
      <c r="D46" s="11">
        <f t="shared" ca="1" si="8"/>
        <v>0.30979830914216544</v>
      </c>
      <c r="E46" s="11">
        <f t="shared" ca="1" si="8"/>
        <v>0.49296000614439939</v>
      </c>
      <c r="F46" s="11">
        <f t="shared" ca="1" si="8"/>
        <v>0.73327081038335507</v>
      </c>
      <c r="G46" s="11">
        <f t="shared" ca="1" si="8"/>
        <v>0.32162267384115256</v>
      </c>
      <c r="H46" s="11">
        <f t="shared" ca="1" si="8"/>
        <v>-0.22567776206473075</v>
      </c>
      <c r="I46" s="11">
        <f t="shared" ca="1" si="8"/>
        <v>0.44516569963754449</v>
      </c>
      <c r="J46" s="11">
        <f t="shared" ca="1" si="8"/>
        <v>0.73945361443253999</v>
      </c>
      <c r="K46" s="11">
        <f t="shared" ca="1" si="8"/>
        <v>0.29726401568943306</v>
      </c>
      <c r="L46" s="11">
        <f t="shared" ca="1" si="8"/>
        <v>0.20658490562695131</v>
      </c>
      <c r="M46" s="11">
        <f t="shared" ca="1" si="8"/>
        <v>0.46239170873241042</v>
      </c>
      <c r="N46" s="11">
        <f t="shared" ca="1" si="8"/>
        <v>0.69147687014421511</v>
      </c>
      <c r="O46" s="11">
        <f t="shared" ca="1" si="8"/>
        <v>0.64675249436330462</v>
      </c>
      <c r="P46" s="11">
        <f t="shared" ca="1" si="8"/>
        <v>0.37682803733866488</v>
      </c>
      <c r="Q46" s="11">
        <f t="shared" ca="1" si="8"/>
        <v>0.25410364310460803</v>
      </c>
      <c r="R46" s="11">
        <f t="shared" ca="1" si="7"/>
        <v>-5.2292744006597308E-2</v>
      </c>
      <c r="S46" s="11">
        <f t="shared" ca="1" si="7"/>
        <v>0.20527407136778655</v>
      </c>
      <c r="T46" s="11">
        <f t="shared" ca="1" si="7"/>
        <v>1.0000000000000002</v>
      </c>
      <c r="U46" s="11">
        <f t="shared" ca="1" si="5"/>
        <v>0.56735346789332786</v>
      </c>
    </row>
    <row r="47" spans="1:21" ht="18" x14ac:dyDescent="0.55000000000000004">
      <c r="A47" s="13" t="s">
        <v>111</v>
      </c>
      <c r="B47" s="11">
        <f t="shared" ca="1" si="8"/>
        <v>0.43234101350687087</v>
      </c>
      <c r="C47" s="11">
        <f t="shared" ca="1" si="8"/>
        <v>0.31671033704575363</v>
      </c>
      <c r="D47" s="11">
        <f t="shared" ca="1" si="8"/>
        <v>0.27298499097667595</v>
      </c>
      <c r="E47" s="11">
        <f t="shared" ca="1" si="8"/>
        <v>0.51121471765832183</v>
      </c>
      <c r="F47" s="11">
        <f t="shared" ca="1" si="8"/>
        <v>0.45621933061583964</v>
      </c>
      <c r="G47" s="11">
        <f t="shared" ca="1" si="8"/>
        <v>0.10102823337357882</v>
      </c>
      <c r="H47" s="11">
        <f t="shared" ca="1" si="8"/>
        <v>-0.20025724420719335</v>
      </c>
      <c r="I47" s="11">
        <f t="shared" ca="1" si="8"/>
        <v>0.25514151069924479</v>
      </c>
      <c r="J47" s="11">
        <f t="shared" ca="1" si="8"/>
        <v>0.45129810598681896</v>
      </c>
      <c r="K47" s="11">
        <f t="shared" ca="1" si="8"/>
        <v>0.1969183323685213</v>
      </c>
      <c r="L47" s="11">
        <f t="shared" ca="1" si="8"/>
        <v>7.1504393769677543E-2</v>
      </c>
      <c r="M47" s="11">
        <f t="shared" ca="1" si="8"/>
        <v>0.2875021571727282</v>
      </c>
      <c r="N47" s="11">
        <f t="shared" ca="1" si="8"/>
        <v>0.34734797371431425</v>
      </c>
      <c r="O47" s="11">
        <f t="shared" ca="1" si="8"/>
        <v>0.38593500934210717</v>
      </c>
      <c r="P47" s="11">
        <f t="shared" ca="1" si="8"/>
        <v>0.11506609766691592</v>
      </c>
      <c r="Q47" s="11">
        <f t="shared" ca="1" si="8"/>
        <v>8.0091364580104379E-2</v>
      </c>
      <c r="R47" s="11">
        <f t="shared" ca="1" si="7"/>
        <v>-9.5243892247388648E-2</v>
      </c>
      <c r="S47" s="11">
        <f t="shared" ca="1" si="7"/>
        <v>0.23415598558724915</v>
      </c>
      <c r="T47" s="11">
        <f t="shared" ca="1" si="7"/>
        <v>0.56735346789332786</v>
      </c>
      <c r="U47" s="11">
        <f t="shared" ca="1" si="7"/>
        <v>0.99999999999999989</v>
      </c>
    </row>
    <row r="48" spans="1:21" ht="18" x14ac:dyDescent="0.55000000000000004">
      <c r="A48" s="17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</row>
    <row r="49" spans="1:20" ht="18" x14ac:dyDescent="0.55000000000000004">
      <c r="A49" s="17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</row>
    <row r="50" spans="1:20" ht="18" x14ac:dyDescent="0.55000000000000004">
      <c r="A50" s="18" t="s">
        <v>87</v>
      </c>
      <c r="B50" s="16"/>
      <c r="C50" s="19">
        <f>1/20</f>
        <v>0.05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</row>
    <row r="51" spans="1:20" ht="18" x14ac:dyDescent="0.55000000000000004">
      <c r="A51" s="18" t="s">
        <v>88</v>
      </c>
      <c r="B51" s="16"/>
      <c r="C51" s="20">
        <v>1000000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</row>
    <row r="52" spans="1:20" ht="18" x14ac:dyDescent="0.55000000000000004">
      <c r="A52" s="17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</row>
    <row r="53" spans="1:20" x14ac:dyDescent="0.45">
      <c r="B53" t="s">
        <v>131</v>
      </c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</row>
    <row r="54" spans="1:20" x14ac:dyDescent="0.45">
      <c r="A54" s="8">
        <v>43131</v>
      </c>
      <c r="B54">
        <f>equal_w*SUM('Part2(a)'!B3:U3)</f>
        <v>-4.8578260086948155E-2</v>
      </c>
      <c r="D54" t="s">
        <v>89</v>
      </c>
      <c r="E54">
        <f t="shared" ref="E54:E73" si="9">equal_w</f>
        <v>0.05</v>
      </c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</row>
    <row r="55" spans="1:20" x14ac:dyDescent="0.45">
      <c r="A55" s="8">
        <v>43159</v>
      </c>
      <c r="B55">
        <f>equal_w*SUM('Part2(a)'!B4:U4)</f>
        <v>-5.2282232916082166E-2</v>
      </c>
      <c r="D55" t="s">
        <v>90</v>
      </c>
      <c r="E55">
        <f t="shared" si="9"/>
        <v>0.05</v>
      </c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</row>
    <row r="56" spans="1:20" x14ac:dyDescent="0.45">
      <c r="A56" s="8">
        <v>43188</v>
      </c>
      <c r="B56">
        <f>equal_w*SUM('Part2(a)'!B5:U5)</f>
        <v>7.2595233853848503E-3</v>
      </c>
      <c r="D56" t="s">
        <v>91</v>
      </c>
      <c r="E56">
        <f>equal_w</f>
        <v>0.05</v>
      </c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</row>
    <row r="57" spans="1:20" x14ac:dyDescent="0.45">
      <c r="A57" s="8">
        <v>43220</v>
      </c>
      <c r="B57">
        <f>equal_w*SUM('Part2(a)'!B6:U6)</f>
        <v>3.3929107915631709E-2</v>
      </c>
      <c r="D57" t="s">
        <v>92</v>
      </c>
      <c r="E57">
        <f t="shared" si="9"/>
        <v>0.05</v>
      </c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1:20" x14ac:dyDescent="0.45">
      <c r="A58" s="8">
        <v>43251</v>
      </c>
      <c r="B58">
        <f>equal_w*SUM('Part2(a)'!B7:U7)</f>
        <v>1.8285419498442642E-2</v>
      </c>
      <c r="D58" t="s">
        <v>93</v>
      </c>
      <c r="E58">
        <f t="shared" si="9"/>
        <v>0.05</v>
      </c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1:20" x14ac:dyDescent="0.45">
      <c r="A59" s="8">
        <v>43280</v>
      </c>
      <c r="B59">
        <f>equal_w*SUM('Part2(a)'!B8:U8)</f>
        <v>8.8860017045993746E-3</v>
      </c>
      <c r="D59" t="s">
        <v>94</v>
      </c>
      <c r="E59">
        <f t="shared" si="9"/>
        <v>0.05</v>
      </c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1:20" x14ac:dyDescent="0.45">
      <c r="A60" s="8">
        <v>43312</v>
      </c>
      <c r="B60">
        <f>equal_w*SUM('Part2(a)'!B9:U9)</f>
        <v>-9.9588797507329813E-3</v>
      </c>
      <c r="D60" t="s">
        <v>95</v>
      </c>
      <c r="E60">
        <f t="shared" si="9"/>
        <v>0.05</v>
      </c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</row>
    <row r="61" spans="1:20" x14ac:dyDescent="0.45">
      <c r="A61" s="8">
        <v>43343</v>
      </c>
      <c r="B61">
        <f>equal_w*SUM('Part2(a)'!B10:U10)</f>
        <v>1.9865231604856343E-2</v>
      </c>
      <c r="D61" t="s">
        <v>96</v>
      </c>
      <c r="E61">
        <f t="shared" si="9"/>
        <v>0.05</v>
      </c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</row>
    <row r="62" spans="1:20" x14ac:dyDescent="0.45">
      <c r="A62" s="8">
        <v>43371</v>
      </c>
      <c r="B62">
        <f>equal_w*SUM('Part2(a)'!B11:U11)</f>
        <v>-9.2868056515599904E-3</v>
      </c>
      <c r="D62" t="s">
        <v>97</v>
      </c>
      <c r="E62">
        <f t="shared" si="9"/>
        <v>0.05</v>
      </c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</row>
    <row r="63" spans="1:20" x14ac:dyDescent="0.45">
      <c r="A63" s="8">
        <v>43404</v>
      </c>
      <c r="B63">
        <f>equal_w*SUM('Part2(a)'!B12:U12)</f>
        <v>-0.10862118945833932</v>
      </c>
      <c r="D63" t="s">
        <v>98</v>
      </c>
      <c r="E63">
        <f t="shared" si="9"/>
        <v>0.05</v>
      </c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20" x14ac:dyDescent="0.45">
      <c r="A64" s="8">
        <v>43434</v>
      </c>
      <c r="B64">
        <f>equal_w*SUM('Part2(a)'!B13:U13)</f>
        <v>-2.7714478370070779E-4</v>
      </c>
      <c r="D64" t="s">
        <v>99</v>
      </c>
      <c r="E64">
        <f t="shared" si="9"/>
        <v>0.05</v>
      </c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20" x14ac:dyDescent="0.45">
      <c r="A65" s="8">
        <v>43465</v>
      </c>
      <c r="B65">
        <f>equal_w*SUM('Part2(a)'!B14:U14)</f>
        <v>-0.12295875543472412</v>
      </c>
      <c r="D65" t="s">
        <v>100</v>
      </c>
      <c r="E65">
        <f t="shared" si="9"/>
        <v>0.05</v>
      </c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20" x14ac:dyDescent="0.45">
      <c r="A66" s="8">
        <v>43496</v>
      </c>
      <c r="B66">
        <f>equal_w*SUM('Part2(a)'!B15:U15)</f>
        <v>0.14674293462938848</v>
      </c>
      <c r="D66" t="s">
        <v>101</v>
      </c>
      <c r="E66">
        <f t="shared" si="9"/>
        <v>0.05</v>
      </c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</row>
    <row r="67" spans="1:20" x14ac:dyDescent="0.45">
      <c r="A67" s="8">
        <v>43524</v>
      </c>
      <c r="B67">
        <f>equal_w*SUM('Part2(a)'!B16:U16)</f>
        <v>3.1879762420362438E-2</v>
      </c>
      <c r="D67" t="s">
        <v>102</v>
      </c>
      <c r="E67">
        <f t="shared" si="9"/>
        <v>0.05</v>
      </c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</row>
    <row r="68" spans="1:20" x14ac:dyDescent="0.45">
      <c r="A68" s="8">
        <v>43553</v>
      </c>
      <c r="B68">
        <f>equal_w*SUM('Part2(a)'!B17:U17)</f>
        <v>-4.475217435796347E-2</v>
      </c>
      <c r="D68" t="s">
        <v>103</v>
      </c>
      <c r="E68">
        <f t="shared" si="9"/>
        <v>0.05</v>
      </c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</row>
    <row r="69" spans="1:20" x14ac:dyDescent="0.45">
      <c r="A69" s="8">
        <v>43585</v>
      </c>
      <c r="B69">
        <f>equal_w*SUM('Part2(a)'!B18:U18)</f>
        <v>4.0776132459803001E-2</v>
      </c>
      <c r="D69" t="s">
        <v>104</v>
      </c>
      <c r="E69">
        <f t="shared" si="9"/>
        <v>0.05</v>
      </c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</row>
    <row r="70" spans="1:20" x14ac:dyDescent="0.45">
      <c r="A70" s="8">
        <v>43616</v>
      </c>
      <c r="B70">
        <f>equal_w*SUM('Part2(a)'!B19:U19)</f>
        <v>-0.12547041188442201</v>
      </c>
      <c r="D70" t="s">
        <v>105</v>
      </c>
      <c r="E70">
        <f t="shared" si="9"/>
        <v>0.05</v>
      </c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</row>
    <row r="71" spans="1:20" x14ac:dyDescent="0.45">
      <c r="A71" s="8">
        <v>43644</v>
      </c>
      <c r="B71">
        <f>equal_w*SUM('Part2(a)'!B20:U20)</f>
        <v>1.6751664686994589E-2</v>
      </c>
      <c r="D71" t="s">
        <v>106</v>
      </c>
      <c r="E71">
        <f t="shared" si="9"/>
        <v>0.05</v>
      </c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</row>
    <row r="72" spans="1:20" x14ac:dyDescent="0.45">
      <c r="A72" s="8">
        <v>43677</v>
      </c>
      <c r="B72">
        <f>equal_w*SUM('Part2(a)'!B21:U21)</f>
        <v>7.1821146181989788E-3</v>
      </c>
      <c r="D72" t="s">
        <v>107</v>
      </c>
      <c r="E72">
        <f t="shared" si="9"/>
        <v>0.05</v>
      </c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</row>
    <row r="73" spans="1:20" x14ac:dyDescent="0.45">
      <c r="A73" s="8">
        <v>43707</v>
      </c>
      <c r="B73">
        <f>equal_w*SUM('Part2(a)'!B22:U22)</f>
        <v>-2.2329582526953291E-2</v>
      </c>
      <c r="D73" t="s">
        <v>117</v>
      </c>
      <c r="E73">
        <f t="shared" si="9"/>
        <v>0.05</v>
      </c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</row>
    <row r="74" spans="1:20" x14ac:dyDescent="0.45">
      <c r="A74" s="8">
        <v>43738</v>
      </c>
      <c r="B74">
        <f>equal_w*SUM('Part2(a)'!B23:U23)</f>
        <v>0.12423888606715328</v>
      </c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1:20" ht="18" x14ac:dyDescent="0.55000000000000004">
      <c r="A75" s="8">
        <v>43769</v>
      </c>
      <c r="B75">
        <f>equal_w*SUM('Part2(a)'!B24:U24)</f>
        <v>-6.4645916070802098E-2</v>
      </c>
      <c r="D75" s="18" t="s">
        <v>108</v>
      </c>
      <c r="E75" s="16">
        <f>SUM(E54:E73)</f>
        <v>1.0000000000000002</v>
      </c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1:20" ht="18" x14ac:dyDescent="0.55000000000000004">
      <c r="A76" s="8">
        <v>43798</v>
      </c>
      <c r="B76">
        <f>equal_w*SUM('Part2(a)'!B25:U25)</f>
        <v>2.7565275321047075E-3</v>
      </c>
      <c r="D76" s="18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1:20" x14ac:dyDescent="0.45">
      <c r="A77" s="8">
        <v>43830</v>
      </c>
      <c r="B77">
        <f>equal_w*SUM('Part2(a)'!B26:U26)</f>
        <v>7.1017060931294423E-2</v>
      </c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1:20" x14ac:dyDescent="0.45">
      <c r="A78" s="8">
        <v>43861</v>
      </c>
      <c r="B78">
        <f>equal_w*SUM('Part2(a)'!B27:U27)</f>
        <v>-5.2978227807616324E-2</v>
      </c>
      <c r="C78" s="16"/>
      <c r="D78" s="5" t="s">
        <v>109</v>
      </c>
      <c r="E78" s="22"/>
      <c r="F78" s="23">
        <f>AVERAGE(port_P_ret)*12</f>
        <v>0.11589328533563882</v>
      </c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</row>
    <row r="79" spans="1:20" x14ac:dyDescent="0.45">
      <c r="A79" s="8">
        <v>43889</v>
      </c>
      <c r="B79">
        <f>equal_w*SUM('Part2(a)'!B28:U28)</f>
        <v>-0.11100692939715989</v>
      </c>
      <c r="C79" s="16"/>
      <c r="D79" s="5" t="s">
        <v>110</v>
      </c>
      <c r="E79" s="22"/>
      <c r="F79" s="23">
        <f>_xlfn.STDEV.S(port_P_ret)*SQRT(12)</f>
        <v>0.31622330355759665</v>
      </c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</row>
    <row r="80" spans="1:20" x14ac:dyDescent="0.45">
      <c r="A80" s="8">
        <v>43921</v>
      </c>
      <c r="B80">
        <f>equal_w*SUM('Part2(a)'!B29:U29)</f>
        <v>-0.12282771544553624</v>
      </c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</row>
    <row r="81" spans="1:20" x14ac:dyDescent="0.45">
      <c r="A81" s="8">
        <v>43951</v>
      </c>
      <c r="B81">
        <f>equal_w*SUM('Part2(a)'!B30:U30)</f>
        <v>0.19569526160389936</v>
      </c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</row>
    <row r="82" spans="1:20" x14ac:dyDescent="0.45">
      <c r="A82" s="8">
        <v>43980</v>
      </c>
      <c r="B82">
        <f>equal_w*SUM('Part2(a)'!B31:U31)</f>
        <v>6.4026412908082156E-2</v>
      </c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</row>
    <row r="83" spans="1:20" x14ac:dyDescent="0.45">
      <c r="A83" s="8">
        <v>44012</v>
      </c>
      <c r="B83">
        <f>equal_w*SUM('Part2(a)'!B32:U32)</f>
        <v>5.9186106411458106E-2</v>
      </c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</row>
    <row r="84" spans="1:20" x14ac:dyDescent="0.45">
      <c r="A84" s="8">
        <v>44043</v>
      </c>
      <c r="B84">
        <f>equal_w*SUM('Part2(a)'!B33:U33)</f>
        <v>3.6348383485103511E-2</v>
      </c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</row>
    <row r="85" spans="1:20" x14ac:dyDescent="0.45">
      <c r="A85" s="8">
        <v>44074</v>
      </c>
      <c r="B85">
        <f>equal_w*SUM('Part2(a)'!B34:U34)</f>
        <v>4.5329651148462075E-2</v>
      </c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</row>
    <row r="86" spans="1:20" x14ac:dyDescent="0.45">
      <c r="A86" s="8">
        <v>44104</v>
      </c>
      <c r="B86">
        <f>equal_w*SUM('Part2(a)'!B35:U35)</f>
        <v>-4.1818479962855967E-2</v>
      </c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</row>
    <row r="87" spans="1:20" x14ac:dyDescent="0.45">
      <c r="A87" s="8">
        <v>44134</v>
      </c>
      <c r="B87">
        <f>equal_w*SUM('Part2(a)'!B36:U36)</f>
        <v>-2.4698461335679725E-2</v>
      </c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</row>
    <row r="88" spans="1:20" x14ac:dyDescent="0.45">
      <c r="A88" s="8">
        <v>44165</v>
      </c>
      <c r="B88">
        <f>equal_w*SUM('Part2(a)'!B37:U37)</f>
        <v>0.43594655070995358</v>
      </c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</row>
    <row r="89" spans="1:20" x14ac:dyDescent="0.45">
      <c r="A89" s="8">
        <v>44196</v>
      </c>
      <c r="B89">
        <f>equal_w*SUM('Part2(a)'!B38:U38)</f>
        <v>5.0198887738684063E-2</v>
      </c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</row>
    <row r="90" spans="1:20" x14ac:dyDescent="0.45">
      <c r="A90" s="8">
        <v>44225</v>
      </c>
      <c r="B90">
        <f>equal_w*SUM('Part2(a)'!B39:U39)</f>
        <v>0.17665931540256832</v>
      </c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</row>
    <row r="91" spans="1:20" x14ac:dyDescent="0.45">
      <c r="A91" s="8">
        <v>44253</v>
      </c>
      <c r="B91">
        <f>equal_w*SUM('Part2(a)'!B40:U40)</f>
        <v>9.106317990722651E-2</v>
      </c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</row>
    <row r="92" spans="1:20" x14ac:dyDescent="0.45">
      <c r="A92" s="8">
        <v>44286</v>
      </c>
      <c r="B92">
        <f>equal_w*SUM('Part2(a)'!B41:U41)</f>
        <v>-8.7457958852926922E-3</v>
      </c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</row>
    <row r="93" spans="1:20" x14ac:dyDescent="0.45">
      <c r="A93" s="8">
        <v>44316</v>
      </c>
      <c r="B93">
        <f>equal_w*SUM('Part2(a)'!B42:U42)</f>
        <v>1.4538670424968354E-2</v>
      </c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</row>
    <row r="94" spans="1:20" x14ac:dyDescent="0.45">
      <c r="A94" s="8">
        <v>44344</v>
      </c>
      <c r="B94">
        <f>equal_w*SUM('Part2(a)'!B43:U43)</f>
        <v>6.5699940138315149E-3</v>
      </c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</row>
    <row r="95" spans="1:20" x14ac:dyDescent="0.45">
      <c r="A95" s="8">
        <v>44377</v>
      </c>
      <c r="B95">
        <f>equal_w*SUM('Part2(a)'!B44:U44)</f>
        <v>2.6650958587864433E-2</v>
      </c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</row>
    <row r="96" spans="1:20" x14ac:dyDescent="0.45">
      <c r="A96" s="8">
        <v>44407</v>
      </c>
      <c r="B96">
        <f>equal_w*SUM('Part2(a)'!B45:U45)</f>
        <v>-3.792314926539947E-2</v>
      </c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</row>
    <row r="97" spans="1:20" x14ac:dyDescent="0.45">
      <c r="A97" s="8">
        <v>44439</v>
      </c>
      <c r="B97">
        <f>equal_w*SUM('Part2(a)'!B46:U46)</f>
        <v>-7.9778213705053655E-3</v>
      </c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</row>
    <row r="98" spans="1:20" x14ac:dyDescent="0.45">
      <c r="A98" s="8">
        <v>44469</v>
      </c>
      <c r="B98">
        <f>equal_w*SUM('Part2(a)'!B47:U47)</f>
        <v>1.5522171047826411E-2</v>
      </c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</row>
    <row r="99" spans="1:20" x14ac:dyDescent="0.45">
      <c r="A99" s="8">
        <v>44498</v>
      </c>
      <c r="B99">
        <f>equal_w*SUM('Part2(a)'!B48:U48)</f>
        <v>2.7734783656829288E-2</v>
      </c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</row>
    <row r="100" spans="1:20" x14ac:dyDescent="0.45">
      <c r="A100" s="8">
        <v>44530</v>
      </c>
      <c r="B100">
        <f>equal_w*SUM('Part2(a)'!B49:U49)</f>
        <v>-4.0133781860164273E-2</v>
      </c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</row>
    <row r="101" spans="1:20" x14ac:dyDescent="0.45">
      <c r="A101" s="8">
        <v>44561</v>
      </c>
      <c r="B101">
        <f>equal_w*SUM('Part2(a)'!B50:U50)</f>
        <v>2.0656416050491063E-2</v>
      </c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</row>
    <row r="102" spans="1:20" x14ac:dyDescent="0.45">
      <c r="A102" s="8">
        <v>44592</v>
      </c>
      <c r="B102">
        <f>equal_w*SUM('Part2(a)'!B51:U51)</f>
        <v>-4.8559801165886894E-3</v>
      </c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</row>
    <row r="103" spans="1:20" x14ac:dyDescent="0.45">
      <c r="A103" s="8">
        <v>44620</v>
      </c>
      <c r="B103">
        <f>equal_w*SUM('Part2(a)'!B52:U52)</f>
        <v>3.4137419409412117E-2</v>
      </c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</row>
    <row r="104" spans="1:20" x14ac:dyDescent="0.45">
      <c r="A104" s="8">
        <v>44651</v>
      </c>
      <c r="B104">
        <f>equal_w*SUM('Part2(a)'!B53:U53)</f>
        <v>3.722078822446552E-2</v>
      </c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</row>
    <row r="105" spans="1:20" x14ac:dyDescent="0.45">
      <c r="A105" s="8">
        <v>44680</v>
      </c>
      <c r="B105">
        <f>equal_w*SUM('Part2(a)'!B54:U54)</f>
        <v>-0.12180891122481857</v>
      </c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</row>
    <row r="106" spans="1:20" x14ac:dyDescent="0.45">
      <c r="A106" s="8">
        <v>44712</v>
      </c>
      <c r="B106">
        <f>equal_w*SUM('Part2(a)'!B55:U55)</f>
        <v>5.6023442018010954E-2</v>
      </c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</row>
    <row r="107" spans="1:20" x14ac:dyDescent="0.45">
      <c r="A107" s="8">
        <v>44742</v>
      </c>
      <c r="B107">
        <f>equal_w*SUM('Part2(a)'!B56:U56)</f>
        <v>-0.12254293825789381</v>
      </c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</row>
    <row r="108" spans="1:20" x14ac:dyDescent="0.45">
      <c r="A108" s="8">
        <v>44771</v>
      </c>
      <c r="B108">
        <f>equal_w*SUM('Part2(a)'!B57:U57)</f>
        <v>6.6979882510002406E-2</v>
      </c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</row>
    <row r="109" spans="1:20" x14ac:dyDescent="0.45">
      <c r="A109" s="8">
        <v>44804</v>
      </c>
      <c r="B109">
        <f>equal_w*SUM('Part2(a)'!B58:U58)</f>
        <v>1.452797480161121E-2</v>
      </c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</row>
    <row r="110" spans="1:20" x14ac:dyDescent="0.45">
      <c r="A110" s="8">
        <v>44834</v>
      </c>
      <c r="B110">
        <f>equal_w*SUM('Part2(a)'!B59:U59)</f>
        <v>-0.141065264150807</v>
      </c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</row>
    <row r="111" spans="1:20" x14ac:dyDescent="0.45">
      <c r="A111" s="8">
        <v>44865</v>
      </c>
      <c r="B111">
        <f>equal_w*SUM('Part2(a)'!B60:U60)</f>
        <v>0.10975421612724584</v>
      </c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</row>
    <row r="112" spans="1:20" x14ac:dyDescent="0.45">
      <c r="A112" s="8">
        <v>44895</v>
      </c>
      <c r="B112">
        <f>equal_w*SUM('Part2(a)'!B61:U61)</f>
        <v>-3.8517596514090771E-2</v>
      </c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</row>
    <row r="113" spans="1:20" x14ac:dyDescent="0.45">
      <c r="A113" s="8">
        <v>44925</v>
      </c>
      <c r="B113">
        <f>equal_w*SUM('Part2(a)'!B62:U62)</f>
        <v>-4.8812001447380161E-2</v>
      </c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</row>
    <row r="114" spans="1:20" ht="18" x14ac:dyDescent="0.55000000000000004">
      <c r="A114" s="18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</row>
    <row r="115" spans="1:20" ht="18" x14ac:dyDescent="0.55000000000000004">
      <c r="A115" s="18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</row>
    <row r="116" spans="1:20" ht="18" x14ac:dyDescent="0.55000000000000004">
      <c r="A116" s="18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</row>
    <row r="117" spans="1:20" ht="18" x14ac:dyDescent="0.55000000000000004">
      <c r="A117" s="18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53FEC-2766-4F08-8905-E713F8B8A433}">
  <sheetPr codeName="Sheet4"/>
  <dimension ref="A1:J66"/>
  <sheetViews>
    <sheetView zoomScale="70" zoomScaleNormal="70" workbookViewId="0">
      <selection activeCell="B3" sqref="B3"/>
    </sheetView>
  </sheetViews>
  <sheetFormatPr defaultColWidth="8.796875" defaultRowHeight="14.25" x14ac:dyDescent="0.45"/>
  <cols>
    <col min="1" max="1" width="8.796875" customWidth="1"/>
    <col min="3" max="3" width="16.46484375" bestFit="1" customWidth="1"/>
    <col min="4" max="4" width="16.53125" bestFit="1" customWidth="1"/>
    <col min="5" max="5" width="21.796875" bestFit="1" customWidth="1"/>
    <col min="6" max="6" width="10.19921875" bestFit="1" customWidth="1"/>
    <col min="7" max="8" width="16.86328125" customWidth="1"/>
    <col min="9" max="9" width="11.19921875" bestFit="1" customWidth="1"/>
    <col min="10" max="10" width="22.3984375" bestFit="1" customWidth="1"/>
  </cols>
  <sheetData>
    <row r="1" spans="2:7" x14ac:dyDescent="0.45">
      <c r="B1" s="40" t="s">
        <v>31</v>
      </c>
      <c r="C1" s="40"/>
      <c r="F1" s="40" t="s">
        <v>31</v>
      </c>
      <c r="G1" s="40"/>
    </row>
    <row r="2" spans="2:7" x14ac:dyDescent="0.45">
      <c r="C2" t="s">
        <v>118</v>
      </c>
      <c r="G2" t="s">
        <v>119</v>
      </c>
    </row>
    <row r="3" spans="2:7" x14ac:dyDescent="0.45">
      <c r="B3" t="s">
        <v>43</v>
      </c>
      <c r="C3" s="16">
        <v>0</v>
      </c>
      <c r="F3" t="s">
        <v>43</v>
      </c>
      <c r="G3" s="27">
        <v>-7.1278590831019353E-2</v>
      </c>
    </row>
    <row r="4" spans="2:7" x14ac:dyDescent="0.45">
      <c r="B4" t="s">
        <v>44</v>
      </c>
      <c r="C4" s="16">
        <v>0</v>
      </c>
      <c r="F4" t="s">
        <v>44</v>
      </c>
      <c r="G4" s="27">
        <v>-7.3823044965578219E-3</v>
      </c>
    </row>
    <row r="5" spans="2:7" x14ac:dyDescent="0.45">
      <c r="B5" t="s">
        <v>45</v>
      </c>
      <c r="C5" s="16">
        <v>0</v>
      </c>
      <c r="F5" t="s">
        <v>45</v>
      </c>
      <c r="G5" s="27">
        <v>0.10638159347242424</v>
      </c>
    </row>
    <row r="6" spans="2:7" x14ac:dyDescent="0.45">
      <c r="B6" t="s">
        <v>46</v>
      </c>
      <c r="C6" s="16">
        <v>0</v>
      </c>
      <c r="F6" t="s">
        <v>46</v>
      </c>
      <c r="G6" s="27">
        <v>-0.31485521509363179</v>
      </c>
    </row>
    <row r="7" spans="2:7" x14ac:dyDescent="0.45">
      <c r="B7" t="s">
        <v>47</v>
      </c>
      <c r="C7" s="16">
        <v>0</v>
      </c>
      <c r="F7" t="s">
        <v>47</v>
      </c>
      <c r="G7" s="27">
        <v>-3.463064234228392E-2</v>
      </c>
    </row>
    <row r="8" spans="2:7" x14ac:dyDescent="0.45">
      <c r="B8" t="s">
        <v>48</v>
      </c>
      <c r="C8" s="16">
        <v>0</v>
      </c>
      <c r="F8" t="s">
        <v>48</v>
      </c>
      <c r="G8" s="27">
        <v>-0.29200141767340615</v>
      </c>
    </row>
    <row r="9" spans="2:7" x14ac:dyDescent="0.45">
      <c r="B9" t="s">
        <v>49</v>
      </c>
      <c r="C9" s="16">
        <v>0</v>
      </c>
      <c r="F9" t="s">
        <v>49</v>
      </c>
      <c r="G9" s="27">
        <v>-6.0761008395865419E-3</v>
      </c>
    </row>
    <row r="10" spans="2:7" x14ac:dyDescent="0.45">
      <c r="B10" t="s">
        <v>50</v>
      </c>
      <c r="C10" s="16">
        <v>0</v>
      </c>
      <c r="F10" t="s">
        <v>50</v>
      </c>
      <c r="G10" s="27">
        <v>7.4931746761679588E-2</v>
      </c>
    </row>
    <row r="11" spans="2:7" x14ac:dyDescent="0.45">
      <c r="B11" t="s">
        <v>51</v>
      </c>
      <c r="C11" s="16">
        <v>0</v>
      </c>
      <c r="F11" t="s">
        <v>51</v>
      </c>
      <c r="G11" s="27">
        <v>0.19192888447800177</v>
      </c>
    </row>
    <row r="12" spans="2:7" x14ac:dyDescent="0.45">
      <c r="B12" t="s">
        <v>52</v>
      </c>
      <c r="C12" s="16">
        <v>0</v>
      </c>
      <c r="F12" t="s">
        <v>52</v>
      </c>
      <c r="G12" s="27">
        <v>5.6222570907451478E-3</v>
      </c>
    </row>
    <row r="13" spans="2:7" x14ac:dyDescent="0.45">
      <c r="B13" t="s">
        <v>53</v>
      </c>
      <c r="C13" s="16">
        <v>0</v>
      </c>
      <c r="F13" t="s">
        <v>53</v>
      </c>
      <c r="G13" s="27">
        <v>0.42460205529772138</v>
      </c>
    </row>
    <row r="14" spans="2:7" x14ac:dyDescent="0.45">
      <c r="B14" t="s">
        <v>54</v>
      </c>
      <c r="C14" s="16">
        <v>0</v>
      </c>
      <c r="F14" t="s">
        <v>54</v>
      </c>
      <c r="G14" s="27">
        <v>4.2261771845117271E-2</v>
      </c>
    </row>
    <row r="15" spans="2:7" x14ac:dyDescent="0.45">
      <c r="B15" t="s">
        <v>80</v>
      </c>
      <c r="C15" s="16">
        <v>0</v>
      </c>
      <c r="F15" t="s">
        <v>80</v>
      </c>
      <c r="G15" s="27">
        <v>3.7777786219764346E-2</v>
      </c>
    </row>
    <row r="16" spans="2:7" x14ac:dyDescent="0.45">
      <c r="B16" t="s">
        <v>56</v>
      </c>
      <c r="C16" s="16">
        <v>0</v>
      </c>
      <c r="F16" t="s">
        <v>56</v>
      </c>
      <c r="G16" s="27">
        <v>-0.28300899607374552</v>
      </c>
    </row>
    <row r="17" spans="1:7" x14ac:dyDescent="0.45">
      <c r="B17" t="s">
        <v>57</v>
      </c>
      <c r="C17" s="16">
        <v>0</v>
      </c>
      <c r="F17" t="s">
        <v>57</v>
      </c>
      <c r="G17" s="27">
        <v>-2.7617916516135693E-2</v>
      </c>
    </row>
    <row r="18" spans="1:7" x14ac:dyDescent="0.45">
      <c r="B18" t="s">
        <v>58</v>
      </c>
      <c r="C18" s="16">
        <v>0</v>
      </c>
      <c r="F18" t="s">
        <v>58</v>
      </c>
      <c r="G18" s="27">
        <v>-3.1750137912073609E-2</v>
      </c>
    </row>
    <row r="19" spans="1:7" x14ac:dyDescent="0.45">
      <c r="B19" t="s">
        <v>59</v>
      </c>
      <c r="C19" s="16">
        <v>-5.3983705029177981E-7</v>
      </c>
      <c r="F19" t="s">
        <v>59</v>
      </c>
      <c r="G19" s="27">
        <v>0.76671739760262836</v>
      </c>
    </row>
    <row r="20" spans="1:7" x14ac:dyDescent="0.45">
      <c r="B20" t="s">
        <v>60</v>
      </c>
      <c r="C20" s="16">
        <v>1.0000005433387027</v>
      </c>
      <c r="F20" t="s">
        <v>60</v>
      </c>
      <c r="G20" s="27">
        <v>0.11950486631197914</v>
      </c>
    </row>
    <row r="21" spans="1:7" x14ac:dyDescent="0.45">
      <c r="B21" t="s">
        <v>62</v>
      </c>
      <c r="C21" s="16">
        <v>0</v>
      </c>
      <c r="F21" t="s">
        <v>62</v>
      </c>
      <c r="G21" s="27">
        <v>0.31132156534200423</v>
      </c>
    </row>
    <row r="22" spans="1:7" x14ac:dyDescent="0.45">
      <c r="B22" t="s">
        <v>61</v>
      </c>
      <c r="C22" s="16">
        <v>0</v>
      </c>
      <c r="F22" t="s">
        <v>61</v>
      </c>
      <c r="G22" s="27">
        <v>-1.2448590815250786E-2</v>
      </c>
    </row>
    <row r="25" spans="1:7" x14ac:dyDescent="0.45">
      <c r="A25" t="s">
        <v>112</v>
      </c>
      <c r="C25" s="28" cm="1">
        <f t="array" aca="1" ref="C25" ca="1">MMULT(TRANSPOSE(w_without_short), MMULT(OMEGA,w_without_short))</f>
        <v>2.7688993398039635E-2</v>
      </c>
      <c r="G25" cm="1">
        <f t="array" aca="1" ref="G25" ca="1">MMULT(TRANSPOSE(w_short), MMULT(OMEGA,w_short))</f>
        <v>5.0092533167253013E-3</v>
      </c>
    </row>
    <row r="26" spans="1:7" x14ac:dyDescent="0.45">
      <c r="A26" t="s">
        <v>113</v>
      </c>
      <c r="C26" s="28">
        <f>SUM(w_without_short)</f>
        <v>1.0000000035016523</v>
      </c>
      <c r="G26">
        <f>SUM(w_short)</f>
        <v>1.0000000118283743</v>
      </c>
    </row>
    <row r="27" spans="1:7" x14ac:dyDescent="0.45">
      <c r="A27" t="s">
        <v>114</v>
      </c>
      <c r="C27" s="28">
        <v>4.5463239663530421E-2</v>
      </c>
      <c r="G27" s="29">
        <v>4.5463239663530421E-2</v>
      </c>
    </row>
    <row r="28" spans="1:7" x14ac:dyDescent="0.45">
      <c r="A28" t="s">
        <v>115</v>
      </c>
      <c r="C28" s="28" cm="1">
        <f t="array" ref="C28">MMULT(TRANSPOSE(w_without_short),Mu)</f>
        <v>4.5463258631794838E-2</v>
      </c>
      <c r="G28" cm="1">
        <f t="array" ref="G28">MMULT(TRANSPOSE(w_short),Mu)</f>
        <v>4.5463240342744807E-2</v>
      </c>
    </row>
    <row r="29" spans="1:7" x14ac:dyDescent="0.45">
      <c r="C29" s="28"/>
    </row>
    <row r="30" spans="1:7" x14ac:dyDescent="0.45">
      <c r="A30" t="s">
        <v>116</v>
      </c>
      <c r="C30" s="28">
        <f ca="1">SQRT(C25)</f>
        <v>0.16640010035465613</v>
      </c>
      <c r="D30">
        <f ca="1">C30*SQRT(12)</f>
        <v>0.57642685639764868</v>
      </c>
      <c r="G30">
        <f ca="1">SQRT(G25)</f>
        <v>7.0776078704074166E-2</v>
      </c>
    </row>
    <row r="33" spans="2:8" x14ac:dyDescent="0.45">
      <c r="B33" t="s">
        <v>41</v>
      </c>
      <c r="F33" t="s">
        <v>42</v>
      </c>
    </row>
    <row r="34" spans="2:8" x14ac:dyDescent="0.45">
      <c r="B34" t="s">
        <v>29</v>
      </c>
      <c r="C34" t="s">
        <v>39</v>
      </c>
      <c r="D34" t="s">
        <v>38</v>
      </c>
      <c r="F34" t="s">
        <v>29</v>
      </c>
      <c r="G34" t="s">
        <v>39</v>
      </c>
      <c r="H34" t="s">
        <v>38</v>
      </c>
    </row>
    <row r="35" spans="2:8" x14ac:dyDescent="0.45">
      <c r="B35">
        <v>0</v>
      </c>
      <c r="C35" s="24">
        <v>0.12412530502435504</v>
      </c>
      <c r="D35" s="24">
        <f t="shared" ref="D35:D45" si="0">PERCENTILE(Mu,B35)</f>
        <v>-2.1690230530560583E-2</v>
      </c>
      <c r="F35">
        <v>0</v>
      </c>
      <c r="G35" s="25">
        <v>5.0604726107450294E-2</v>
      </c>
      <c r="H35" s="25">
        <f t="shared" ref="H35:H45" si="1">PERCENTILE(Mu,F35)</f>
        <v>-2.1690230530560583E-2</v>
      </c>
    </row>
    <row r="36" spans="2:8" x14ac:dyDescent="0.45">
      <c r="B36">
        <v>0.1</v>
      </c>
      <c r="C36" s="24">
        <v>6.5842707904553641E-2</v>
      </c>
      <c r="D36" s="24">
        <f t="shared" si="0"/>
        <v>-7.8854071925232097E-3</v>
      </c>
      <c r="F36">
        <v>0.1</v>
      </c>
      <c r="G36" s="25">
        <v>3.9003400273189368E-2</v>
      </c>
      <c r="H36" s="25">
        <f t="shared" si="1"/>
        <v>-7.8854071925232097E-3</v>
      </c>
    </row>
    <row r="37" spans="2:8" x14ac:dyDescent="0.45">
      <c r="B37">
        <v>0.2</v>
      </c>
      <c r="C37" s="24">
        <v>5.282429798337366E-2</v>
      </c>
      <c r="D37" s="24">
        <f t="shared" si="0"/>
        <v>-1.5711885877910305E-3</v>
      </c>
      <c r="F37">
        <v>0.2</v>
      </c>
      <c r="G37" s="25">
        <v>3.6220380828396043E-2</v>
      </c>
      <c r="H37" s="25">
        <f t="shared" si="1"/>
        <v>-1.5711885877910305E-3</v>
      </c>
    </row>
    <row r="38" spans="2:8" x14ac:dyDescent="0.45">
      <c r="B38">
        <v>0.3</v>
      </c>
      <c r="C38" s="24">
        <v>4.6146537941576589E-2</v>
      </c>
      <c r="D38" s="24">
        <f t="shared" si="0"/>
        <v>3.1528691192902439E-3</v>
      </c>
      <c r="F38">
        <v>0.3</v>
      </c>
      <c r="G38" s="25">
        <v>3.5561110984254712E-2</v>
      </c>
      <c r="H38" s="25">
        <f t="shared" si="1"/>
        <v>3.1528691192902439E-3</v>
      </c>
    </row>
    <row r="39" spans="2:8" x14ac:dyDescent="0.45">
      <c r="B39">
        <v>0.4</v>
      </c>
      <c r="C39" s="24">
        <v>4.3658905259891009E-2</v>
      </c>
      <c r="D39" s="24">
        <f t="shared" si="0"/>
        <v>5.7348011198203631E-3</v>
      </c>
      <c r="F39">
        <v>0.4</v>
      </c>
      <c r="G39" s="25">
        <v>3.5751298797209133E-2</v>
      </c>
      <c r="H39" s="25">
        <f t="shared" si="1"/>
        <v>5.7348011198203631E-3</v>
      </c>
    </row>
    <row r="40" spans="2:8" x14ac:dyDescent="0.45">
      <c r="B40">
        <v>0.5</v>
      </c>
      <c r="C40" s="24">
        <v>4.2479920462773546E-2</v>
      </c>
      <c r="D40" s="24">
        <f t="shared" si="0"/>
        <v>8.4730425326687078E-3</v>
      </c>
      <c r="F40">
        <v>0.5</v>
      </c>
      <c r="G40" s="25">
        <v>3.6375701380913825E-2</v>
      </c>
      <c r="H40" s="25">
        <f t="shared" si="1"/>
        <v>8.4730425326687078E-3</v>
      </c>
    </row>
    <row r="41" spans="2:8" x14ac:dyDescent="0.45">
      <c r="B41">
        <v>0.6</v>
      </c>
      <c r="C41" s="24">
        <v>4.4095119190406956E-2</v>
      </c>
      <c r="D41" s="24">
        <f t="shared" si="0"/>
        <v>1.1139293985537802E-2</v>
      </c>
      <c r="F41">
        <v>0.6</v>
      </c>
      <c r="G41" s="25">
        <v>3.7378250693652179E-2</v>
      </c>
      <c r="H41" s="25">
        <f t="shared" si="1"/>
        <v>1.1139293985537802E-2</v>
      </c>
    </row>
    <row r="42" spans="2:8" x14ac:dyDescent="0.45">
      <c r="B42">
        <v>0.7</v>
      </c>
      <c r="C42" s="24">
        <v>4.7747907547462019E-2</v>
      </c>
      <c r="D42" s="24">
        <f t="shared" si="0"/>
        <v>1.4305683965491396E-2</v>
      </c>
      <c r="F42">
        <v>0.7</v>
      </c>
      <c r="G42" s="25">
        <v>3.9033693240669597E-2</v>
      </c>
      <c r="H42" s="25">
        <f t="shared" si="1"/>
        <v>1.4305683965491396E-2</v>
      </c>
    </row>
    <row r="43" spans="2:8" x14ac:dyDescent="0.45">
      <c r="B43">
        <v>0.8</v>
      </c>
      <c r="C43" s="24">
        <v>6.397301890801893E-2</v>
      </c>
      <c r="D43" s="24">
        <f t="shared" si="0"/>
        <v>2.2205284772508885E-2</v>
      </c>
      <c r="F43">
        <v>0.8</v>
      </c>
      <c r="G43" s="25">
        <v>4.4971735215245952E-2</v>
      </c>
      <c r="H43" s="25">
        <f t="shared" si="1"/>
        <v>2.2205284772508885E-2</v>
      </c>
    </row>
    <row r="44" spans="2:8" x14ac:dyDescent="0.45">
      <c r="B44">
        <v>0.9</v>
      </c>
      <c r="C44" s="24">
        <v>9.0183748725842505E-2</v>
      </c>
      <c r="D44" s="24">
        <f t="shared" si="0"/>
        <v>3.0202186047469767E-2</v>
      </c>
      <c r="F44">
        <v>0.9</v>
      </c>
      <c r="G44" s="25">
        <v>5.285592215939508E-2</v>
      </c>
      <c r="H44" s="25">
        <f t="shared" si="1"/>
        <v>3.0202186047469767E-2</v>
      </c>
    </row>
    <row r="45" spans="2:8" x14ac:dyDescent="0.45">
      <c r="B45">
        <v>1</v>
      </c>
      <c r="C45" s="24">
        <v>0.16640001583230146</v>
      </c>
      <c r="D45" s="24">
        <f t="shared" si="0"/>
        <v>4.5463239663530421E-2</v>
      </c>
      <c r="F45">
        <v>1</v>
      </c>
      <c r="G45" s="25">
        <v>7.0776078407717463E-2</v>
      </c>
      <c r="H45" s="25">
        <f t="shared" si="1"/>
        <v>4.5463239663530421E-2</v>
      </c>
    </row>
    <row r="48" spans="2:8" x14ac:dyDescent="0.45">
      <c r="C48" s="5" t="s">
        <v>28</v>
      </c>
      <c r="G48" s="5" t="s">
        <v>28</v>
      </c>
    </row>
    <row r="49" spans="1:10" x14ac:dyDescent="0.45">
      <c r="C49" t="s">
        <v>36</v>
      </c>
      <c r="D49" t="s">
        <v>37</v>
      </c>
      <c r="G49" t="s">
        <v>36</v>
      </c>
      <c r="H49" t="s">
        <v>37</v>
      </c>
    </row>
    <row r="50" spans="1:10" x14ac:dyDescent="0.45">
      <c r="B50" s="24">
        <v>0.42998464142996551</v>
      </c>
      <c r="C50" s="24">
        <f t="shared" ref="C50:C60" si="2">C35*SQRT(12)</f>
        <v>0.42998266961433468</v>
      </c>
      <c r="D50" s="24">
        <f t="shared" ref="D50:D60" si="3">D35*12</f>
        <v>-0.26028276636672698</v>
      </c>
      <c r="E50" s="32"/>
      <c r="F50" s="24">
        <v>0.17529955423046631</v>
      </c>
      <c r="G50" s="24">
        <f t="shared" ref="G50:G60" si="4">G35*SQRT(12)</f>
        <v>0.17529991344242224</v>
      </c>
      <c r="H50" s="24">
        <f t="shared" ref="H50:H60" si="5">H35*12</f>
        <v>-0.26028276636672698</v>
      </c>
      <c r="I50" s="31"/>
    </row>
    <row r="51" spans="1:10" x14ac:dyDescent="0.45">
      <c r="B51" s="24">
        <v>0.22808583497677326</v>
      </c>
      <c r="C51" s="24">
        <f t="shared" si="2"/>
        <v>0.22808583079720765</v>
      </c>
      <c r="D51" s="24">
        <f t="shared" si="3"/>
        <v>-9.4624886310278516E-2</v>
      </c>
      <c r="E51" s="32"/>
      <c r="F51" s="24">
        <v>0.13511174166699208</v>
      </c>
      <c r="G51" s="24">
        <f t="shared" si="4"/>
        <v>0.13511174188221961</v>
      </c>
      <c r="H51" s="24">
        <f t="shared" si="5"/>
        <v>-9.4624886310278516E-2</v>
      </c>
      <c r="I51" s="31"/>
      <c r="J51" s="30"/>
    </row>
    <row r="52" spans="1:10" x14ac:dyDescent="0.45">
      <c r="B52" s="24">
        <v>0.18298873632665028</v>
      </c>
      <c r="C52" s="24">
        <f t="shared" si="2"/>
        <v>0.18298873596272272</v>
      </c>
      <c r="D52" s="24">
        <f t="shared" si="3"/>
        <v>-1.8854263053492366E-2</v>
      </c>
      <c r="E52" s="32"/>
      <c r="F52" s="24">
        <v>0.12547107170579488</v>
      </c>
      <c r="G52" s="24">
        <f t="shared" si="4"/>
        <v>0.12547107972855129</v>
      </c>
      <c r="H52" s="24">
        <f t="shared" si="5"/>
        <v>-1.8854263053492366E-2</v>
      </c>
      <c r="I52" s="31"/>
      <c r="J52" s="30"/>
    </row>
    <row r="53" spans="1:10" x14ac:dyDescent="0.45">
      <c r="B53" s="24">
        <v>0.15988510221117955</v>
      </c>
      <c r="C53" s="24">
        <f t="shared" si="2"/>
        <v>0.15985629661643114</v>
      </c>
      <c r="D53" s="24">
        <f t="shared" si="3"/>
        <v>3.7834429431482929E-2</v>
      </c>
      <c r="E53" s="32"/>
      <c r="F53" s="24">
        <v>0.12318729959203953</v>
      </c>
      <c r="G53" s="24">
        <f t="shared" si="4"/>
        <v>0.12318730199664969</v>
      </c>
      <c r="H53" s="24">
        <f t="shared" si="5"/>
        <v>3.7834429431482929E-2</v>
      </c>
      <c r="I53" s="31"/>
      <c r="J53" s="30"/>
    </row>
    <row r="54" spans="1:10" x14ac:dyDescent="0.45">
      <c r="B54" s="24">
        <v>0.15127286141441626</v>
      </c>
      <c r="C54" s="24">
        <f t="shared" si="2"/>
        <v>0.15123888422593465</v>
      </c>
      <c r="D54" s="24">
        <f t="shared" si="3"/>
        <v>6.8817613437844358E-2</v>
      </c>
      <c r="E54" s="32"/>
      <c r="F54" s="24">
        <v>0.12384612687960883</v>
      </c>
      <c r="G54" s="24">
        <f t="shared" si="4"/>
        <v>0.12384613190668461</v>
      </c>
      <c r="H54" s="24">
        <f t="shared" si="5"/>
        <v>6.8817613437844358E-2</v>
      </c>
      <c r="I54" s="31"/>
      <c r="J54" s="30"/>
    </row>
    <row r="55" spans="1:10" x14ac:dyDescent="0.45">
      <c r="B55" s="24">
        <v>0.14715507628999588</v>
      </c>
      <c r="C55" s="24">
        <f t="shared" si="2"/>
        <v>0.14715476108601719</v>
      </c>
      <c r="D55" s="24">
        <f t="shared" si="3"/>
        <v>0.10167651039202449</v>
      </c>
      <c r="E55" s="32"/>
      <c r="F55" s="24">
        <v>0.12600913631814645</v>
      </c>
      <c r="G55" s="24">
        <f t="shared" si="4"/>
        <v>0.12600912590539223</v>
      </c>
      <c r="H55" s="24">
        <f t="shared" si="5"/>
        <v>0.10167651039202449</v>
      </c>
      <c r="I55" s="31"/>
      <c r="J55" s="30"/>
    </row>
    <row r="56" spans="1:10" x14ac:dyDescent="0.45">
      <c r="B56" s="24">
        <v>0.15274996541977512</v>
      </c>
      <c r="C56" s="24">
        <f t="shared" si="2"/>
        <v>0.15274997360718054</v>
      </c>
      <c r="D56" s="24">
        <f t="shared" si="3"/>
        <v>0.13367152782645364</v>
      </c>
      <c r="E56" s="32"/>
      <c r="F56" s="24">
        <v>0.12948192666325342</v>
      </c>
      <c r="G56" s="24">
        <f t="shared" si="4"/>
        <v>0.12948205859890441</v>
      </c>
      <c r="H56" s="24">
        <f t="shared" si="5"/>
        <v>0.13367152782645364</v>
      </c>
      <c r="I56" s="31"/>
      <c r="J56" s="30"/>
    </row>
    <row r="57" spans="1:10" x14ac:dyDescent="0.45">
      <c r="B57" s="24">
        <v>0.16541438743183878</v>
      </c>
      <c r="C57" s="24">
        <f t="shared" si="2"/>
        <v>0.16540360365461135</v>
      </c>
      <c r="D57" s="24">
        <f t="shared" si="3"/>
        <v>0.17166820758589676</v>
      </c>
      <c r="E57" s="32"/>
      <c r="F57" s="24">
        <v>0.13521667929930603</v>
      </c>
      <c r="G57" s="24">
        <f t="shared" si="4"/>
        <v>0.13521667979979521</v>
      </c>
      <c r="H57" s="24">
        <f t="shared" si="5"/>
        <v>0.17166820758589676</v>
      </c>
      <c r="I57" s="31"/>
      <c r="J57" s="30"/>
    </row>
    <row r="58" spans="1:10" x14ac:dyDescent="0.45">
      <c r="B58" s="24">
        <v>0.22165950485768757</v>
      </c>
      <c r="C58" s="24">
        <f t="shared" si="2"/>
        <v>0.22160903812450647</v>
      </c>
      <c r="D58" s="24">
        <f t="shared" si="3"/>
        <v>0.26646341727010664</v>
      </c>
      <c r="E58" s="32"/>
      <c r="F58" s="24">
        <v>0.1559616934098175</v>
      </c>
      <c r="G58" s="24">
        <f t="shared" si="4"/>
        <v>0.15578666059468094</v>
      </c>
      <c r="H58" s="24">
        <f t="shared" si="5"/>
        <v>0.26646341727010664</v>
      </c>
      <c r="I58" s="31"/>
      <c r="J58" s="30"/>
    </row>
    <row r="59" spans="1:10" x14ac:dyDescent="0.45">
      <c r="B59" s="24">
        <v>0.31240079186838277</v>
      </c>
      <c r="C59" s="24">
        <f t="shared" si="2"/>
        <v>0.31240566962036842</v>
      </c>
      <c r="D59" s="24">
        <f t="shared" si="3"/>
        <v>0.36242623256963719</v>
      </c>
      <c r="E59" s="32"/>
      <c r="F59" s="24">
        <v>0.18309828605176734</v>
      </c>
      <c r="G59" s="24">
        <f t="shared" si="4"/>
        <v>0.18309828532195591</v>
      </c>
      <c r="H59" s="24">
        <f t="shared" si="5"/>
        <v>0.36242623256963719</v>
      </c>
      <c r="I59" s="31"/>
      <c r="J59" s="30"/>
    </row>
    <row r="60" spans="1:10" x14ac:dyDescent="0.45">
      <c r="B60" s="24">
        <v>0.5764265528647986</v>
      </c>
      <c r="C60" s="24">
        <f t="shared" si="2"/>
        <v>0.57642656360362343</v>
      </c>
      <c r="D60" s="24">
        <f t="shared" si="3"/>
        <v>0.54555887596236508</v>
      </c>
      <c r="E60" s="32"/>
      <c r="F60" s="24">
        <v>0.24517565535856387</v>
      </c>
      <c r="G60" s="24">
        <f t="shared" si="4"/>
        <v>0.2451755275252904</v>
      </c>
      <c r="H60" s="24">
        <f t="shared" si="5"/>
        <v>0.54555887596236508</v>
      </c>
      <c r="I60" s="31"/>
      <c r="J60" s="30"/>
    </row>
    <row r="61" spans="1:10" x14ac:dyDescent="0.45">
      <c r="C61" s="26"/>
      <c r="D61" s="26"/>
    </row>
    <row r="62" spans="1:10" x14ac:dyDescent="0.45">
      <c r="A62" t="s">
        <v>120</v>
      </c>
      <c r="C62" s="26"/>
      <c r="D62" s="26"/>
    </row>
    <row r="63" spans="1:10" x14ac:dyDescent="0.45">
      <c r="C63" s="26"/>
      <c r="D63" s="26"/>
    </row>
    <row r="64" spans="1:10" x14ac:dyDescent="0.45">
      <c r="C64" s="26"/>
      <c r="D64" s="26"/>
    </row>
    <row r="65" spans="3:4" x14ac:dyDescent="0.45">
      <c r="C65" s="26"/>
      <c r="D65" s="26"/>
    </row>
    <row r="66" spans="3:4" x14ac:dyDescent="0.45">
      <c r="C66" s="26"/>
      <c r="D66" s="26"/>
    </row>
  </sheetData>
  <mergeCells count="2">
    <mergeCell ref="B1:C1"/>
    <mergeCell ref="F1:G1"/>
  </mergeCells>
  <phoneticPr fontId="6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9939D-6502-4CBE-9451-9667E1EB06E8}">
  <sheetPr codeName="Sheet5"/>
  <dimension ref="B1:K38"/>
  <sheetViews>
    <sheetView topLeftCell="A37" zoomScale="85" zoomScaleNormal="85" workbookViewId="0">
      <selection activeCell="E22" sqref="E22"/>
    </sheetView>
  </sheetViews>
  <sheetFormatPr defaultRowHeight="14.25" x14ac:dyDescent="0.45"/>
  <cols>
    <col min="2" max="2" width="11.19921875" customWidth="1"/>
    <col min="3" max="3" width="35" bestFit="1" customWidth="1"/>
    <col min="4" max="4" width="26.265625" customWidth="1"/>
    <col min="5" max="5" width="16" customWidth="1"/>
    <col min="6" max="6" width="12.53125" customWidth="1"/>
    <col min="7" max="7" width="14.53125" customWidth="1"/>
    <col min="9" max="9" width="12.33203125" customWidth="1"/>
    <col min="10" max="10" width="12.53125" bestFit="1" customWidth="1"/>
    <col min="11" max="11" width="11.9296875" customWidth="1"/>
  </cols>
  <sheetData>
    <row r="1" spans="2:11" x14ac:dyDescent="0.45">
      <c r="C1" s="5"/>
      <c r="D1" s="5" t="s">
        <v>27</v>
      </c>
    </row>
    <row r="2" spans="2:11" x14ac:dyDescent="0.45">
      <c r="B2" t="s">
        <v>29</v>
      </c>
      <c r="C2" t="s">
        <v>39</v>
      </c>
      <c r="D2" t="s">
        <v>38</v>
      </c>
      <c r="E2" t="s">
        <v>30</v>
      </c>
      <c r="F2" s="40" t="s">
        <v>31</v>
      </c>
      <c r="G2" s="40"/>
      <c r="K2" t="s">
        <v>32</v>
      </c>
    </row>
    <row r="3" spans="2:11" x14ac:dyDescent="0.45">
      <c r="B3">
        <v>0</v>
      </c>
      <c r="C3">
        <v>5.0604622411890565E-2</v>
      </c>
      <c r="D3">
        <f t="shared" ref="D3:D13" si="0">PERCENTILE(Mu,B3)</f>
        <v>-2.1690230530560583E-2</v>
      </c>
      <c r="E3">
        <v>0</v>
      </c>
      <c r="F3">
        <v>1</v>
      </c>
      <c r="G3">
        <v>-7.1278670624126753E-2</v>
      </c>
      <c r="I3" t="s">
        <v>33</v>
      </c>
      <c r="J3" cm="1">
        <f t="array" aca="1" ref="J3" ca="1">MMULT(TRANSPOSE(weight),MMULT(OMEGA,weight))</f>
        <v>5.0092584983751067E-3</v>
      </c>
      <c r="K3">
        <f ca="1">SQRT(J3)</f>
        <v>7.0776115310004883E-2</v>
      </c>
    </row>
    <row r="4" spans="2:11" x14ac:dyDescent="0.45">
      <c r="B4">
        <v>0.1</v>
      </c>
      <c r="C4">
        <v>3.9003400211058525E-2</v>
      </c>
      <c r="D4">
        <f t="shared" si="0"/>
        <v>-7.8854071925232097E-3</v>
      </c>
      <c r="E4">
        <v>0</v>
      </c>
      <c r="F4">
        <v>2</v>
      </c>
      <c r="G4">
        <v>-7.3823008353629529E-3</v>
      </c>
      <c r="I4" t="s">
        <v>34</v>
      </c>
      <c r="J4" cm="1">
        <f t="array" ref="J4">MMULT(TRANSPOSE(weight),Mu)</f>
        <v>4.546326972711958E-2</v>
      </c>
    </row>
    <row r="5" spans="2:11" x14ac:dyDescent="0.45">
      <c r="B5">
        <v>0.2</v>
      </c>
      <c r="C5">
        <v>3.6220378512425759E-2</v>
      </c>
      <c r="D5">
        <f t="shared" si="0"/>
        <v>-1.5711885877910305E-3</v>
      </c>
      <c r="E5">
        <v>0</v>
      </c>
      <c r="F5">
        <v>3</v>
      </c>
      <c r="G5">
        <v>0.10638163406862308</v>
      </c>
      <c r="I5" t="s">
        <v>35</v>
      </c>
      <c r="J5">
        <f>SUM(weight)</f>
        <v>0.99999999978612297</v>
      </c>
    </row>
    <row r="6" spans="2:11" x14ac:dyDescent="0.45">
      <c r="B6">
        <v>0.3</v>
      </c>
      <c r="C6">
        <v>3.5561110290103552E-2</v>
      </c>
      <c r="D6">
        <f t="shared" si="0"/>
        <v>3.1528691192902439E-3</v>
      </c>
      <c r="E6">
        <v>0</v>
      </c>
      <c r="F6">
        <v>4</v>
      </c>
      <c r="G6">
        <v>-0.31485564485408302</v>
      </c>
      <c r="I6" t="s">
        <v>27</v>
      </c>
      <c r="J6">
        <v>4.5463239663530421E-2</v>
      </c>
    </row>
    <row r="7" spans="2:11" x14ac:dyDescent="0.45">
      <c r="B7">
        <v>0.4</v>
      </c>
      <c r="C7">
        <v>3.5751297346017355E-2</v>
      </c>
      <c r="D7">
        <f t="shared" si="0"/>
        <v>5.7348011198203631E-3</v>
      </c>
      <c r="E7">
        <v>0</v>
      </c>
      <c r="F7">
        <v>5</v>
      </c>
      <c r="G7">
        <v>-3.4630606851351546E-2</v>
      </c>
    </row>
    <row r="8" spans="2:11" x14ac:dyDescent="0.45">
      <c r="B8">
        <v>0.5</v>
      </c>
      <c r="C8">
        <v>3.6375704386817052E-2</v>
      </c>
      <c r="D8">
        <f t="shared" si="0"/>
        <v>8.4730425326687078E-3</v>
      </c>
      <c r="E8">
        <v>0</v>
      </c>
      <c r="F8">
        <v>6</v>
      </c>
      <c r="G8">
        <v>-0.29200165354957325</v>
      </c>
    </row>
    <row r="9" spans="2:11" x14ac:dyDescent="0.45">
      <c r="B9">
        <v>0.6</v>
      </c>
      <c r="C9">
        <v>3.7378212607110377E-2</v>
      </c>
      <c r="D9">
        <f t="shared" si="0"/>
        <v>1.1139293985537802E-2</v>
      </c>
      <c r="E9">
        <v>0</v>
      </c>
      <c r="F9">
        <v>7</v>
      </c>
      <c r="G9">
        <v>-6.0760272328846581E-3</v>
      </c>
    </row>
    <row r="10" spans="2:11" x14ac:dyDescent="0.45">
      <c r="B10">
        <v>0.7</v>
      </c>
      <c r="C10">
        <v>3.903369309619082E-2</v>
      </c>
      <c r="D10">
        <f t="shared" si="0"/>
        <v>1.4305683965491396E-2</v>
      </c>
      <c r="E10">
        <v>0</v>
      </c>
      <c r="F10">
        <v>8</v>
      </c>
      <c r="G10">
        <v>7.4931960993817201E-2</v>
      </c>
    </row>
    <row r="11" spans="2:11" x14ac:dyDescent="0.45">
      <c r="B11">
        <v>0.8</v>
      </c>
      <c r="C11">
        <v>4.5022262836714011E-2</v>
      </c>
      <c r="D11">
        <f t="shared" si="0"/>
        <v>2.2205284772508885E-2</v>
      </c>
      <c r="E11">
        <v>0</v>
      </c>
      <c r="F11">
        <v>9</v>
      </c>
      <c r="G11">
        <v>0.19192956009995041</v>
      </c>
    </row>
    <row r="12" spans="2:11" x14ac:dyDescent="0.45">
      <c r="B12">
        <v>0.9</v>
      </c>
      <c r="C12">
        <v>5.2855922370073492E-2</v>
      </c>
      <c r="D12">
        <f t="shared" si="0"/>
        <v>3.0202186047469767E-2</v>
      </c>
      <c r="E12">
        <v>0</v>
      </c>
      <c r="F12">
        <v>10</v>
      </c>
      <c r="G12">
        <v>5.6223183241690192E-3</v>
      </c>
    </row>
    <row r="13" spans="2:11" x14ac:dyDescent="0.45">
      <c r="B13">
        <v>1</v>
      </c>
      <c r="C13">
        <v>7.0776115310004883E-2</v>
      </c>
      <c r="D13">
        <f t="shared" si="0"/>
        <v>4.5463239663530421E-2</v>
      </c>
      <c r="E13">
        <v>0</v>
      </c>
      <c r="F13">
        <v>11</v>
      </c>
      <c r="G13">
        <v>0.42460211298442174</v>
      </c>
    </row>
    <row r="14" spans="2:11" x14ac:dyDescent="0.45">
      <c r="F14">
        <v>12</v>
      </c>
      <c r="G14">
        <v>4.2261786927506463E-2</v>
      </c>
    </row>
    <row r="15" spans="2:11" x14ac:dyDescent="0.45">
      <c r="F15">
        <v>13</v>
      </c>
      <c r="G15">
        <v>3.7777980105091834E-2</v>
      </c>
    </row>
    <row r="16" spans="2:11" x14ac:dyDescent="0.45">
      <c r="F16">
        <v>14</v>
      </c>
      <c r="G16">
        <v>-0.28300934034710884</v>
      </c>
    </row>
    <row r="17" spans="3:7" x14ac:dyDescent="0.45">
      <c r="F17">
        <v>15</v>
      </c>
      <c r="G17">
        <v>-2.7618073971984711E-2</v>
      </c>
    </row>
    <row r="18" spans="3:7" x14ac:dyDescent="0.45">
      <c r="F18">
        <v>16</v>
      </c>
      <c r="G18">
        <v>-3.1750279785284413E-2</v>
      </c>
    </row>
    <row r="19" spans="3:7" x14ac:dyDescent="0.45">
      <c r="F19">
        <v>17</v>
      </c>
      <c r="G19">
        <v>0.76671729302857883</v>
      </c>
    </row>
    <row r="20" spans="3:7" x14ac:dyDescent="0.45">
      <c r="F20">
        <v>18</v>
      </c>
      <c r="G20">
        <v>0.11950494879075063</v>
      </c>
    </row>
    <row r="21" spans="3:7" x14ac:dyDescent="0.45">
      <c r="F21">
        <v>19</v>
      </c>
      <c r="G21">
        <v>0.31132154585829119</v>
      </c>
    </row>
    <row r="22" spans="3:7" x14ac:dyDescent="0.45">
      <c r="F22">
        <v>20</v>
      </c>
      <c r="G22">
        <v>-1.2448543343317407E-2</v>
      </c>
    </row>
    <row r="26" spans="3:7" x14ac:dyDescent="0.45">
      <c r="C26" s="5" t="s">
        <v>28</v>
      </c>
    </row>
    <row r="27" spans="3:7" x14ac:dyDescent="0.45">
      <c r="C27" t="s">
        <v>36</v>
      </c>
      <c r="D27" t="s">
        <v>37</v>
      </c>
    </row>
    <row r="28" spans="3:7" x14ac:dyDescent="0.45">
      <c r="C28" s="25">
        <f>C3*SQRT(12)</f>
        <v>0.17529955423046631</v>
      </c>
      <c r="D28" s="25">
        <f>D3*12</f>
        <v>-0.26028276636672698</v>
      </c>
    </row>
    <row r="29" spans="3:7" x14ac:dyDescent="0.45">
      <c r="C29" s="25">
        <f t="shared" ref="C29:C37" si="1">C4*SQRT(12)</f>
        <v>0.13511174166699208</v>
      </c>
      <c r="D29" s="25">
        <f t="shared" ref="D29:D38" si="2">D4*12</f>
        <v>-9.4624886310278516E-2</v>
      </c>
    </row>
    <row r="30" spans="3:7" x14ac:dyDescent="0.45">
      <c r="C30" s="25">
        <f t="shared" si="1"/>
        <v>0.12547107170579488</v>
      </c>
      <c r="D30" s="25">
        <f t="shared" si="2"/>
        <v>-1.8854263053492366E-2</v>
      </c>
    </row>
    <row r="31" spans="3:7" x14ac:dyDescent="0.45">
      <c r="C31" s="25">
        <f t="shared" si="1"/>
        <v>0.12318729959203953</v>
      </c>
      <c r="D31" s="25">
        <f t="shared" si="2"/>
        <v>3.7834429431482929E-2</v>
      </c>
    </row>
    <row r="32" spans="3:7" x14ac:dyDescent="0.45">
      <c r="C32" s="25">
        <f t="shared" si="1"/>
        <v>0.12384612687960883</v>
      </c>
      <c r="D32" s="25">
        <f t="shared" si="2"/>
        <v>6.8817613437844358E-2</v>
      </c>
    </row>
    <row r="33" spans="3:4" x14ac:dyDescent="0.45">
      <c r="C33" s="25">
        <f t="shared" si="1"/>
        <v>0.12600913631814645</v>
      </c>
      <c r="D33" s="25">
        <f t="shared" si="2"/>
        <v>0.10167651039202449</v>
      </c>
    </row>
    <row r="34" spans="3:4" x14ac:dyDescent="0.45">
      <c r="C34" s="25">
        <f t="shared" si="1"/>
        <v>0.12948192666325342</v>
      </c>
      <c r="D34" s="25">
        <f t="shared" si="2"/>
        <v>0.13367152782645364</v>
      </c>
    </row>
    <row r="35" spans="3:4" x14ac:dyDescent="0.45">
      <c r="C35" s="25">
        <f t="shared" si="1"/>
        <v>0.13521667929930603</v>
      </c>
      <c r="D35" s="25">
        <f t="shared" si="2"/>
        <v>0.17166820758589676</v>
      </c>
    </row>
    <row r="36" spans="3:4" x14ac:dyDescent="0.45">
      <c r="C36" s="25">
        <f t="shared" si="1"/>
        <v>0.1559616934098175</v>
      </c>
      <c r="D36" s="25">
        <f t="shared" si="2"/>
        <v>0.26646341727010664</v>
      </c>
    </row>
    <row r="37" spans="3:4" x14ac:dyDescent="0.45">
      <c r="C37" s="25">
        <f t="shared" si="1"/>
        <v>0.18309828605176734</v>
      </c>
      <c r="D37" s="25">
        <f t="shared" si="2"/>
        <v>0.36242623256963719</v>
      </c>
    </row>
    <row r="38" spans="3:4" x14ac:dyDescent="0.45">
      <c r="C38" s="25">
        <f>C13*SQRT(12)</f>
        <v>0.24517565535856387</v>
      </c>
      <c r="D38" s="25">
        <f t="shared" si="2"/>
        <v>0.54555887596236508</v>
      </c>
    </row>
  </sheetData>
  <mergeCells count="1">
    <mergeCell ref="F2:G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FC127-AA5E-4C82-B8A5-36A0053B0AB2}">
  <sheetPr codeName="Sheet3"/>
  <dimension ref="A2:J51"/>
  <sheetViews>
    <sheetView topLeftCell="A22" zoomScale="85" zoomScaleNormal="85" workbookViewId="0">
      <selection activeCell="E43" sqref="E43"/>
    </sheetView>
  </sheetViews>
  <sheetFormatPr defaultRowHeight="14.25" x14ac:dyDescent="0.45"/>
  <cols>
    <col min="1" max="1" width="16.46484375" customWidth="1"/>
    <col min="4" max="4" width="16.3984375" bestFit="1" customWidth="1"/>
    <col min="5" max="7" width="13.46484375" customWidth="1"/>
    <col min="9" max="9" width="16.3984375" bestFit="1" customWidth="1"/>
  </cols>
  <sheetData>
    <row r="2" spans="1:3" x14ac:dyDescent="0.45">
      <c r="A2" t="s">
        <v>120</v>
      </c>
    </row>
    <row r="3" spans="1:3" x14ac:dyDescent="0.45">
      <c r="B3" t="s">
        <v>21</v>
      </c>
      <c r="C3" t="s">
        <v>22</v>
      </c>
    </row>
    <row r="4" spans="1:3" x14ac:dyDescent="0.45">
      <c r="A4" t="s">
        <v>83</v>
      </c>
      <c r="B4" s="25" t="e">
        <f>vwr_annual_ret</f>
        <v>#REF!</v>
      </c>
      <c r="C4" s="25" t="e">
        <f>ewr_annual_ret</f>
        <v>#REF!</v>
      </c>
    </row>
    <row r="5" spans="1:3" x14ac:dyDescent="0.45">
      <c r="A5" t="s">
        <v>36</v>
      </c>
      <c r="B5" s="25" t="e">
        <f>vwr_annual_vol</f>
        <v>#REF!</v>
      </c>
      <c r="C5" s="25" t="e">
        <f>ewr_annual_vol</f>
        <v>#REF!</v>
      </c>
    </row>
    <row r="26" spans="1:10" x14ac:dyDescent="0.45">
      <c r="A26" t="s">
        <v>121</v>
      </c>
    </row>
    <row r="27" spans="1:10" x14ac:dyDescent="0.45">
      <c r="A27" s="41" t="s">
        <v>130</v>
      </c>
      <c r="B27" s="41"/>
      <c r="D27" s="41" t="s">
        <v>128</v>
      </c>
      <c r="E27" s="41"/>
      <c r="F27" s="41"/>
      <c r="G27" s="41"/>
      <c r="I27" s="41" t="s">
        <v>129</v>
      </c>
      <c r="J27" s="41"/>
    </row>
    <row r="28" spans="1:10" x14ac:dyDescent="0.45">
      <c r="E28" s="5" t="s">
        <v>125</v>
      </c>
      <c r="F28" s="5" t="s">
        <v>126</v>
      </c>
      <c r="G28" s="5" t="s">
        <v>127</v>
      </c>
      <c r="J28" t="s">
        <v>125</v>
      </c>
    </row>
    <row r="29" spans="1:10" x14ac:dyDescent="0.45">
      <c r="A29" t="s">
        <v>122</v>
      </c>
      <c r="B29" s="24">
        <f>'Part2(b)'!F78</f>
        <v>0.11589328533563882</v>
      </c>
      <c r="D29" t="s">
        <v>122</v>
      </c>
      <c r="E29" s="26">
        <f>'Analysis IV - Solver Only'!H53</f>
        <v>3.7834429431482929E-2</v>
      </c>
      <c r="F29" s="26">
        <f>'Analysis IV - Solver Only'!H59</f>
        <v>0.36242623256963719</v>
      </c>
      <c r="G29" s="26">
        <f>'Analysis IV - Solver Only'!H60</f>
        <v>0.54555887596236508</v>
      </c>
      <c r="I29" t="s">
        <v>122</v>
      </c>
      <c r="J29" s="26">
        <f>'Analysis IV - Solver Only'!D55</f>
        <v>0.10167651039202449</v>
      </c>
    </row>
    <row r="30" spans="1:10" x14ac:dyDescent="0.45">
      <c r="A30" t="s">
        <v>123</v>
      </c>
      <c r="B30" s="24">
        <f>'Part2(b)'!F79</f>
        <v>0.31622330355759665</v>
      </c>
      <c r="D30" t="s">
        <v>123</v>
      </c>
      <c r="E30" s="26">
        <f>'Analysis IV - Solver Only'!G53</f>
        <v>0.12318730199664969</v>
      </c>
      <c r="F30" s="26">
        <f>'Analysis IV - Solver Only'!G59</f>
        <v>0.18309828532195591</v>
      </c>
      <c r="G30" s="26">
        <f>'Analysis IV - Solver Only'!G60</f>
        <v>0.2451755275252904</v>
      </c>
      <c r="I30" t="s">
        <v>123</v>
      </c>
      <c r="J30" s="26">
        <f>'Analysis IV - Solver Only'!C55</f>
        <v>0.14715476108601719</v>
      </c>
    </row>
    <row r="31" spans="1:10" x14ac:dyDescent="0.45">
      <c r="A31" s="40" t="s">
        <v>124</v>
      </c>
      <c r="B31" s="40"/>
      <c r="D31" s="40" t="s">
        <v>124</v>
      </c>
      <c r="E31" s="40"/>
      <c r="F31" s="40"/>
      <c r="G31" s="40"/>
      <c r="I31" s="40" t="s">
        <v>124</v>
      </c>
      <c r="J31" s="40"/>
    </row>
    <row r="32" spans="1:10" x14ac:dyDescent="0.45">
      <c r="A32" t="s">
        <v>43</v>
      </c>
      <c r="B32">
        <f t="shared" ref="B32:B51" si="0">equal_w</f>
        <v>0.05</v>
      </c>
      <c r="D32" t="s">
        <v>43</v>
      </c>
      <c r="E32" s="16">
        <v>-2.4085729781583656E-2</v>
      </c>
      <c r="F32" s="16">
        <v>-5.3580896389220097E-2</v>
      </c>
      <c r="G32" s="16">
        <v>-7.1278590831019353E-2</v>
      </c>
      <c r="I32" t="s">
        <v>43</v>
      </c>
      <c r="J32" s="16">
        <v>0</v>
      </c>
    </row>
    <row r="33" spans="1:10" x14ac:dyDescent="0.45">
      <c r="A33" t="s">
        <v>44</v>
      </c>
      <c r="B33">
        <f t="shared" si="0"/>
        <v>0.05</v>
      </c>
      <c r="D33" t="s">
        <v>44</v>
      </c>
      <c r="E33" s="16">
        <v>-2.3030340993480558E-2</v>
      </c>
      <c r="F33" s="16">
        <v>-1.2374171639577042E-2</v>
      </c>
      <c r="G33" s="16">
        <v>-7.3823044965578219E-3</v>
      </c>
      <c r="I33" t="s">
        <v>44</v>
      </c>
      <c r="J33" s="16">
        <v>0</v>
      </c>
    </row>
    <row r="34" spans="1:10" x14ac:dyDescent="0.45">
      <c r="A34" t="s">
        <v>45</v>
      </c>
      <c r="B34">
        <f t="shared" si="0"/>
        <v>0.05</v>
      </c>
      <c r="D34" t="s">
        <v>45</v>
      </c>
      <c r="E34" s="16">
        <v>1.1766221241766042E-2</v>
      </c>
      <c r="F34" s="16">
        <v>7.3791707001489862E-2</v>
      </c>
      <c r="G34" s="16">
        <v>0.10638159347242424</v>
      </c>
      <c r="I34" t="s">
        <v>45</v>
      </c>
      <c r="J34" s="16">
        <v>0</v>
      </c>
    </row>
    <row r="35" spans="1:10" x14ac:dyDescent="0.45">
      <c r="A35" t="s">
        <v>46</v>
      </c>
      <c r="B35">
        <f t="shared" si="0"/>
        <v>0.05</v>
      </c>
      <c r="D35" t="s">
        <v>46</v>
      </c>
      <c r="E35" s="16">
        <v>-9.0591873328778657E-3</v>
      </c>
      <c r="F35" s="16">
        <v>-0.20482276786786491</v>
      </c>
      <c r="G35" s="16">
        <v>-0.31485521509363179</v>
      </c>
      <c r="I35" t="s">
        <v>46</v>
      </c>
      <c r="J35" s="16">
        <v>0</v>
      </c>
    </row>
    <row r="36" spans="1:10" x14ac:dyDescent="0.45">
      <c r="A36" t="s">
        <v>47</v>
      </c>
      <c r="B36">
        <f t="shared" si="0"/>
        <v>0.05</v>
      </c>
      <c r="D36" t="s">
        <v>47</v>
      </c>
      <c r="E36" s="16">
        <v>3.6847385631099933E-2</v>
      </c>
      <c r="F36" s="16">
        <v>-8.4206951682369441E-3</v>
      </c>
      <c r="G36" s="16">
        <v>-3.463064234228392E-2</v>
      </c>
      <c r="I36" t="s">
        <v>47</v>
      </c>
      <c r="J36" s="16">
        <v>0</v>
      </c>
    </row>
    <row r="37" spans="1:10" x14ac:dyDescent="0.45">
      <c r="A37" t="s">
        <v>48</v>
      </c>
      <c r="B37">
        <f t="shared" si="0"/>
        <v>0.05</v>
      </c>
      <c r="D37" t="s">
        <v>48</v>
      </c>
      <c r="E37" s="16">
        <v>-0.10090062628828239</v>
      </c>
      <c r="F37" s="16">
        <v>-0.22485374225451835</v>
      </c>
      <c r="G37" s="16">
        <v>-0.29200141767340615</v>
      </c>
      <c r="I37" t="s">
        <v>48</v>
      </c>
      <c r="J37" s="16">
        <v>0</v>
      </c>
    </row>
    <row r="38" spans="1:10" x14ac:dyDescent="0.45">
      <c r="A38" t="s">
        <v>49</v>
      </c>
      <c r="B38">
        <f t="shared" si="0"/>
        <v>0.05</v>
      </c>
      <c r="D38" t="s">
        <v>49</v>
      </c>
      <c r="E38" s="16">
        <v>3.3962187144303324E-2</v>
      </c>
      <c r="F38" s="16">
        <v>7.1390632052131886E-3</v>
      </c>
      <c r="G38" s="16">
        <v>-6.0761008395865419E-3</v>
      </c>
      <c r="I38" t="s">
        <v>49</v>
      </c>
      <c r="J38" s="16">
        <v>1.5648879253099972E-2</v>
      </c>
    </row>
    <row r="39" spans="1:10" x14ac:dyDescent="0.45">
      <c r="A39" t="s">
        <v>50</v>
      </c>
      <c r="B39">
        <f t="shared" si="0"/>
        <v>0.05</v>
      </c>
      <c r="D39" t="s">
        <v>50</v>
      </c>
      <c r="E39" s="16">
        <v>4.6826344630112714E-3</v>
      </c>
      <c r="F39" s="16">
        <v>4.1334784565446661E-2</v>
      </c>
      <c r="G39" s="16">
        <v>7.4931746761679588E-2</v>
      </c>
      <c r="I39" t="s">
        <v>50</v>
      </c>
      <c r="J39" s="16">
        <v>0</v>
      </c>
    </row>
    <row r="40" spans="1:10" x14ac:dyDescent="0.45">
      <c r="A40" t="s">
        <v>51</v>
      </c>
      <c r="B40">
        <f t="shared" si="0"/>
        <v>0.05</v>
      </c>
      <c r="D40" t="s">
        <v>51</v>
      </c>
      <c r="E40" s="16">
        <v>0.5402910696333284</v>
      </c>
      <c r="F40" s="16">
        <v>0.31672641280940189</v>
      </c>
      <c r="G40" s="16">
        <v>0.19192888447800177</v>
      </c>
      <c r="I40" t="s">
        <v>51</v>
      </c>
      <c r="J40" s="16">
        <v>0.21449055776291584</v>
      </c>
    </row>
    <row r="41" spans="1:10" x14ac:dyDescent="0.45">
      <c r="A41" t="s">
        <v>52</v>
      </c>
      <c r="B41">
        <f t="shared" si="0"/>
        <v>0.05</v>
      </c>
      <c r="D41" t="s">
        <v>52</v>
      </c>
      <c r="E41" s="16">
        <v>-4.0364966336369684E-2</v>
      </c>
      <c r="F41" s="16">
        <v>-1.1320927289554739E-2</v>
      </c>
      <c r="G41" s="16">
        <v>5.6222570907451478E-3</v>
      </c>
      <c r="I41" t="s">
        <v>52</v>
      </c>
      <c r="J41" s="16">
        <v>0</v>
      </c>
    </row>
    <row r="42" spans="1:10" x14ac:dyDescent="0.45">
      <c r="A42" t="s">
        <v>53</v>
      </c>
      <c r="B42">
        <f t="shared" si="0"/>
        <v>0.05</v>
      </c>
      <c r="D42" t="s">
        <v>53</v>
      </c>
      <c r="E42" s="16">
        <v>0.13081857428827162</v>
      </c>
      <c r="F42" s="16">
        <v>0.32471170589284715</v>
      </c>
      <c r="G42" s="16">
        <v>0.42460205529772138</v>
      </c>
      <c r="I42" t="s">
        <v>53</v>
      </c>
      <c r="J42" s="16">
        <v>0.13305501434475156</v>
      </c>
    </row>
    <row r="43" spans="1:10" x14ac:dyDescent="0.45">
      <c r="A43" t="s">
        <v>54</v>
      </c>
      <c r="B43">
        <f t="shared" si="0"/>
        <v>0.05</v>
      </c>
      <c r="D43" t="s">
        <v>54</v>
      </c>
      <c r="E43" s="16">
        <v>-3.5925749164685522E-2</v>
      </c>
      <c r="F43" s="16">
        <v>1.2914470357434968E-2</v>
      </c>
      <c r="G43" s="16">
        <v>4.2261771845117271E-2</v>
      </c>
      <c r="I43" t="s">
        <v>54</v>
      </c>
      <c r="J43" s="16">
        <v>0</v>
      </c>
    </row>
    <row r="44" spans="1:10" x14ac:dyDescent="0.45">
      <c r="A44" t="s">
        <v>80</v>
      </c>
      <c r="B44">
        <f t="shared" si="0"/>
        <v>0.05</v>
      </c>
      <c r="D44" t="s">
        <v>80</v>
      </c>
      <c r="E44" s="16">
        <v>-8.6339864623411963E-3</v>
      </c>
      <c r="F44" s="16">
        <v>2.3904824653928288E-2</v>
      </c>
      <c r="G44" s="16">
        <v>3.7777786219764346E-2</v>
      </c>
      <c r="I44" t="s">
        <v>80</v>
      </c>
      <c r="J44" s="16">
        <v>0</v>
      </c>
    </row>
    <row r="45" spans="1:10" x14ac:dyDescent="0.45">
      <c r="A45" t="s">
        <v>56</v>
      </c>
      <c r="B45">
        <f t="shared" si="0"/>
        <v>0.05</v>
      </c>
      <c r="D45" t="s">
        <v>56</v>
      </c>
      <c r="E45" s="16">
        <v>1.9470822756696711E-2</v>
      </c>
      <c r="F45" s="16">
        <v>-0.1741092951958147</v>
      </c>
      <c r="G45" s="16">
        <v>-0.28300899607374552</v>
      </c>
      <c r="I45" t="s">
        <v>56</v>
      </c>
      <c r="J45" s="16">
        <v>0</v>
      </c>
    </row>
    <row r="46" spans="1:10" x14ac:dyDescent="0.45">
      <c r="A46" t="s">
        <v>57</v>
      </c>
      <c r="B46">
        <f t="shared" si="0"/>
        <v>0.05</v>
      </c>
      <c r="D46" t="s">
        <v>57</v>
      </c>
      <c r="E46" s="16">
        <v>6.2925792902447333E-2</v>
      </c>
      <c r="F46" s="16">
        <v>6.2159453410987201E-3</v>
      </c>
      <c r="G46" s="16">
        <v>-2.7617916516135693E-2</v>
      </c>
      <c r="I46" t="s">
        <v>57</v>
      </c>
      <c r="J46" s="16">
        <v>6.4970114954812086E-2</v>
      </c>
    </row>
    <row r="47" spans="1:10" x14ac:dyDescent="0.45">
      <c r="A47" t="s">
        <v>58</v>
      </c>
      <c r="B47">
        <f t="shared" si="0"/>
        <v>0.05</v>
      </c>
      <c r="D47" t="s">
        <v>58</v>
      </c>
      <c r="E47" s="16">
        <v>5.8370816309606811E-2</v>
      </c>
      <c r="F47" s="16">
        <v>1.5594254692028876E-3</v>
      </c>
      <c r="G47" s="16">
        <v>-3.1750137912073609E-2</v>
      </c>
      <c r="I47" t="s">
        <v>58</v>
      </c>
      <c r="J47" s="16">
        <v>2.1521301641038239E-2</v>
      </c>
    </row>
    <row r="48" spans="1:10" x14ac:dyDescent="0.45">
      <c r="A48" t="s">
        <v>59</v>
      </c>
      <c r="B48">
        <f t="shared" si="0"/>
        <v>0.05</v>
      </c>
      <c r="D48" t="s">
        <v>59</v>
      </c>
      <c r="E48" s="16">
        <v>0.45857920307969086</v>
      </c>
      <c r="F48" s="16">
        <v>0.6583190808785474</v>
      </c>
      <c r="G48" s="16">
        <v>0.76671739760262836</v>
      </c>
      <c r="I48" t="s">
        <v>59</v>
      </c>
      <c r="J48" s="16">
        <v>0.53983653543232746</v>
      </c>
    </row>
    <row r="49" spans="1:10" x14ac:dyDescent="0.45">
      <c r="A49" t="s">
        <v>60</v>
      </c>
      <c r="B49">
        <f t="shared" si="0"/>
        <v>0.05</v>
      </c>
      <c r="D49" t="s">
        <v>60</v>
      </c>
      <c r="E49" s="16">
        <v>-3.6587685808849475E-2</v>
      </c>
      <c r="F49" s="16">
        <v>6.1871758131242023E-2</v>
      </c>
      <c r="G49" s="16">
        <v>0.11950486631197914</v>
      </c>
      <c r="I49" t="s">
        <v>60</v>
      </c>
      <c r="J49" s="16">
        <v>0</v>
      </c>
    </row>
    <row r="50" spans="1:10" x14ac:dyDescent="0.45">
      <c r="A50" t="s">
        <v>62</v>
      </c>
      <c r="B50">
        <f t="shared" si="0"/>
        <v>0.05</v>
      </c>
      <c r="D50" t="s">
        <v>62</v>
      </c>
      <c r="E50" s="16">
        <v>-0.11464075508742642</v>
      </c>
      <c r="F50" s="16">
        <v>0.15577069320511561</v>
      </c>
      <c r="G50" s="16">
        <v>0.31132156534200423</v>
      </c>
      <c r="I50" t="s">
        <v>62</v>
      </c>
      <c r="J50" s="16">
        <v>0</v>
      </c>
    </row>
    <row r="51" spans="1:10" x14ac:dyDescent="0.45">
      <c r="A51" t="s">
        <v>61</v>
      </c>
      <c r="B51">
        <f t="shared" si="0"/>
        <v>0.05</v>
      </c>
      <c r="D51" t="s">
        <v>61</v>
      </c>
      <c r="E51" s="16">
        <v>3.5514325492507624E-2</v>
      </c>
      <c r="F51" s="16">
        <v>5.2226664747832214E-3</v>
      </c>
      <c r="G51" s="16">
        <v>-1.2448590815250786E-2</v>
      </c>
      <c r="I51" t="s">
        <v>61</v>
      </c>
      <c r="J51" s="16">
        <v>1.0477592835034745E-2</v>
      </c>
    </row>
  </sheetData>
  <mergeCells count="6">
    <mergeCell ref="A31:B31"/>
    <mergeCell ref="D31:G31"/>
    <mergeCell ref="I31:J31"/>
    <mergeCell ref="I27:J27"/>
    <mergeCell ref="D27:G27"/>
    <mergeCell ref="A27:B2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3C834-188D-4F81-9FD9-06FE8D5E1523}">
  <sheetPr codeName="Sheet7"/>
  <dimension ref="A2:I38"/>
  <sheetViews>
    <sheetView zoomScale="55" zoomScaleNormal="55" workbookViewId="0">
      <selection activeCell="H13" sqref="H13"/>
    </sheetView>
  </sheetViews>
  <sheetFormatPr defaultRowHeight="14.25" x14ac:dyDescent="0.45"/>
  <cols>
    <col min="1" max="1" width="15" bestFit="1" customWidth="1"/>
    <col min="2" max="2" width="13.86328125" bestFit="1" customWidth="1"/>
    <col min="3" max="3" width="15.3984375" bestFit="1" customWidth="1"/>
    <col min="4" max="4" width="12.33203125" bestFit="1" customWidth="1"/>
    <col min="7" max="8" width="16.265625" customWidth="1"/>
    <col min="9" max="9" width="15" bestFit="1" customWidth="1"/>
    <col min="10" max="10" width="13.86328125" bestFit="1" customWidth="1"/>
    <col min="11" max="11" width="15.3984375" bestFit="1" customWidth="1"/>
    <col min="12" max="12" width="12.33203125" bestFit="1" customWidth="1"/>
  </cols>
  <sheetData>
    <row r="2" spans="1:9" x14ac:dyDescent="0.45">
      <c r="A2" t="s">
        <v>132</v>
      </c>
      <c r="B2">
        <v>0.05</v>
      </c>
    </row>
    <row r="4" spans="1:9" x14ac:dyDescent="0.45">
      <c r="A4" s="41" t="s">
        <v>133</v>
      </c>
      <c r="B4" s="41"/>
      <c r="C4" s="41"/>
      <c r="D4" s="41"/>
      <c r="G4" s="35" t="s">
        <v>136</v>
      </c>
      <c r="H4" s="35"/>
    </row>
    <row r="5" spans="1:9" x14ac:dyDescent="0.45">
      <c r="A5" t="s">
        <v>29</v>
      </c>
      <c r="B5" t="s">
        <v>36</v>
      </c>
      <c r="C5" t="s">
        <v>37</v>
      </c>
      <c r="D5" t="s">
        <v>134</v>
      </c>
      <c r="F5" t="s">
        <v>31</v>
      </c>
      <c r="G5" t="s">
        <v>135</v>
      </c>
      <c r="H5" t="s">
        <v>83</v>
      </c>
    </row>
    <row r="6" spans="1:9" x14ac:dyDescent="0.45">
      <c r="A6">
        <v>0</v>
      </c>
      <c r="B6" s="24">
        <v>0.42998266961433468</v>
      </c>
      <c r="C6" s="24">
        <v>-0.26028276636672698</v>
      </c>
      <c r="D6">
        <f t="shared" ref="D6:D16" si="0">(C6-Rf)/B6</f>
        <v>-0.72161691224678792</v>
      </c>
      <c r="F6">
        <v>0</v>
      </c>
      <c r="G6">
        <f>A6*$B$17</f>
        <v>0</v>
      </c>
      <c r="H6">
        <f>(A6*$C$17)+((1-A6)*Rf)</f>
        <v>0.05</v>
      </c>
    </row>
    <row r="7" spans="1:9" x14ac:dyDescent="0.45">
      <c r="A7">
        <v>0.1</v>
      </c>
      <c r="B7" s="24">
        <v>0.22808583079720765</v>
      </c>
      <c r="C7" s="24">
        <v>-9.4624886310278516E-2</v>
      </c>
      <c r="D7">
        <f t="shared" si="0"/>
        <v>-0.63408097646743034</v>
      </c>
      <c r="F7">
        <f>A15</f>
        <v>0.9</v>
      </c>
      <c r="G7">
        <f>F7*$B$17</f>
        <v>0.28116510265833161</v>
      </c>
      <c r="H7">
        <f>(F7*$C$17)+((1-F7)*Rf)</f>
        <v>0.33118360931267349</v>
      </c>
      <c r="I7" s="37">
        <f t="shared" ref="I7" si="1">(H7-Rf)/G7</f>
        <v>1.0000658213062963</v>
      </c>
    </row>
    <row r="8" spans="1:9" x14ac:dyDescent="0.45">
      <c r="A8">
        <v>0.2</v>
      </c>
      <c r="B8" s="24">
        <v>0.18298873596272272</v>
      </c>
      <c r="C8" s="24">
        <v>-1.8854263053492366E-2</v>
      </c>
      <c r="D8">
        <f t="shared" si="0"/>
        <v>-0.37627596415289144</v>
      </c>
    </row>
    <row r="9" spans="1:9" x14ac:dyDescent="0.45">
      <c r="A9">
        <v>0.3</v>
      </c>
      <c r="B9" s="24">
        <v>0.15985629661643114</v>
      </c>
      <c r="C9" s="24">
        <v>3.7834429431482929E-2</v>
      </c>
      <c r="D9">
        <f t="shared" si="0"/>
        <v>-7.6103167820207165E-2</v>
      </c>
    </row>
    <row r="10" spans="1:9" x14ac:dyDescent="0.45">
      <c r="A10">
        <v>0.4</v>
      </c>
      <c r="B10" s="24">
        <v>0.15123888422593465</v>
      </c>
      <c r="C10" s="24">
        <v>6.8817613437844358E-2</v>
      </c>
      <c r="D10">
        <f t="shared" si="0"/>
        <v>0.12442311733623254</v>
      </c>
    </row>
    <row r="11" spans="1:9" x14ac:dyDescent="0.45">
      <c r="A11">
        <v>0.5</v>
      </c>
      <c r="B11" s="24">
        <v>0.14715476108601719</v>
      </c>
      <c r="C11" s="24">
        <v>0.10167651039202449</v>
      </c>
      <c r="D11">
        <f t="shared" si="0"/>
        <v>0.35117117523515079</v>
      </c>
    </row>
    <row r="12" spans="1:9" x14ac:dyDescent="0.45">
      <c r="A12">
        <v>0.6</v>
      </c>
      <c r="B12" s="24">
        <v>0.15274997360718054</v>
      </c>
      <c r="C12" s="24">
        <v>0.13367152782645364</v>
      </c>
      <c r="D12">
        <f t="shared" si="0"/>
        <v>0.54776787092368029</v>
      </c>
    </row>
    <row r="13" spans="1:9" x14ac:dyDescent="0.45">
      <c r="A13">
        <v>0.7</v>
      </c>
      <c r="B13" s="24">
        <v>0.16540360365461135</v>
      </c>
      <c r="C13" s="24">
        <v>0.17166820758589676</v>
      </c>
      <c r="D13">
        <f t="shared" si="0"/>
        <v>0.73558377748503623</v>
      </c>
    </row>
    <row r="14" spans="1:9" x14ac:dyDescent="0.45">
      <c r="A14">
        <v>0.8</v>
      </c>
      <c r="B14" s="24">
        <v>0.22160903812450647</v>
      </c>
      <c r="C14" s="24">
        <v>0.26646341727010664</v>
      </c>
      <c r="D14">
        <f t="shared" si="0"/>
        <v>0.97678063630460388</v>
      </c>
    </row>
    <row r="15" spans="1:9" x14ac:dyDescent="0.45">
      <c r="A15">
        <v>0.9</v>
      </c>
      <c r="B15" s="24">
        <v>0.31240566962036842</v>
      </c>
      <c r="C15" s="24">
        <v>0.36242623256963719</v>
      </c>
      <c r="D15">
        <f t="shared" si="0"/>
        <v>1.0000658213062963</v>
      </c>
    </row>
    <row r="16" spans="1:9" x14ac:dyDescent="0.45">
      <c r="A16">
        <v>1</v>
      </c>
      <c r="B16" s="24">
        <v>0.57642656360362343</v>
      </c>
      <c r="C16" s="24">
        <v>0.54555887596236508</v>
      </c>
      <c r="D16">
        <f t="shared" si="0"/>
        <v>0.85970860340699606</v>
      </c>
    </row>
    <row r="17" spans="1:8" x14ac:dyDescent="0.45">
      <c r="A17" s="33" t="s">
        <v>137</v>
      </c>
      <c r="B17" s="33">
        <f>INDEX(B6:B16,MATCH(MAX(D6:D16),D6:D16,0),1)</f>
        <v>0.31240566962036842</v>
      </c>
      <c r="C17" s="33">
        <f>INDEX(C6:C16,MATCH(MAX(D6:D16),D6:D16,0),1)</f>
        <v>0.36242623256963719</v>
      </c>
      <c r="D17" s="33">
        <f>MAX(D6:D16)</f>
        <v>1.0000658213062963</v>
      </c>
    </row>
    <row r="18" spans="1:8" x14ac:dyDescent="0.45">
      <c r="A18" s="34"/>
      <c r="B18" s="34"/>
      <c r="C18" s="34"/>
      <c r="D18" s="34"/>
    </row>
    <row r="25" spans="1:8" x14ac:dyDescent="0.45">
      <c r="A25" s="41" t="s">
        <v>138</v>
      </c>
      <c r="B25" s="41"/>
      <c r="C25" s="41"/>
      <c r="D25" s="41"/>
      <c r="F25" s="41" t="s">
        <v>136</v>
      </c>
      <c r="G25" s="41"/>
      <c r="H25" s="41"/>
    </row>
    <row r="26" spans="1:8" x14ac:dyDescent="0.45">
      <c r="A26" t="s">
        <v>29</v>
      </c>
      <c r="B26" t="s">
        <v>36</v>
      </c>
      <c r="C26" t="s">
        <v>37</v>
      </c>
      <c r="D26" t="s">
        <v>134</v>
      </c>
      <c r="F26" t="s">
        <v>31</v>
      </c>
      <c r="G26" t="s">
        <v>135</v>
      </c>
      <c r="H26" t="s">
        <v>83</v>
      </c>
    </row>
    <row r="27" spans="1:8" x14ac:dyDescent="0.45">
      <c r="A27">
        <v>0</v>
      </c>
      <c r="B27" s="24">
        <v>0.17529991344242224</v>
      </c>
      <c r="C27" s="24">
        <v>-0.26028276636672698</v>
      </c>
      <c r="D27">
        <f t="shared" ref="D27:D37" si="2">(C27-Rf)/B27</f>
        <v>-1.7700109502258268</v>
      </c>
      <c r="F27">
        <v>0</v>
      </c>
      <c r="G27">
        <f t="shared" ref="G27:G28" si="3">F27*$B$38</f>
        <v>0</v>
      </c>
      <c r="H27">
        <f>(F27*$C$38)+((1-F27)*Rf)</f>
        <v>0.05</v>
      </c>
    </row>
    <row r="28" spans="1:8" x14ac:dyDescent="0.45">
      <c r="A28">
        <v>0.1</v>
      </c>
      <c r="B28" s="24">
        <v>0.13511174188221961</v>
      </c>
      <c r="C28" s="24">
        <v>-9.4624886310278516E-2</v>
      </c>
      <c r="D28">
        <f t="shared" si="2"/>
        <v>-1.0704094573538381</v>
      </c>
      <c r="F28">
        <f>A37</f>
        <v>1</v>
      </c>
      <c r="G28">
        <f t="shared" si="3"/>
        <v>0.2451755275252904</v>
      </c>
      <c r="H28">
        <f>(F28*$C$38)+((1-F28)*Rf)</f>
        <v>0.54555887596236508</v>
      </c>
    </row>
    <row r="29" spans="1:8" x14ac:dyDescent="0.45">
      <c r="A29">
        <v>0.2</v>
      </c>
      <c r="B29" s="24">
        <v>0.12547107972855129</v>
      </c>
      <c r="C29" s="24">
        <v>-1.8854263053492366E-2</v>
      </c>
      <c r="D29">
        <f t="shared" si="2"/>
        <v>-0.54876600410591991</v>
      </c>
    </row>
    <row r="30" spans="1:8" x14ac:dyDescent="0.45">
      <c r="A30">
        <v>0.3</v>
      </c>
      <c r="B30" s="24">
        <v>0.12318730199664969</v>
      </c>
      <c r="C30" s="24">
        <v>3.7834429431482929E-2</v>
      </c>
      <c r="D30">
        <f t="shared" si="2"/>
        <v>-9.8756693030324985E-2</v>
      </c>
    </row>
    <row r="31" spans="1:8" x14ac:dyDescent="0.45">
      <c r="A31">
        <v>0.4</v>
      </c>
      <c r="B31" s="24">
        <v>0.12384613190668461</v>
      </c>
      <c r="C31" s="24">
        <v>6.8817613437844358E-2</v>
      </c>
      <c r="D31">
        <f t="shared" si="2"/>
        <v>0.15194348945854053</v>
      </c>
    </row>
    <row r="32" spans="1:8" x14ac:dyDescent="0.45">
      <c r="A32">
        <v>0.5</v>
      </c>
      <c r="B32" s="24">
        <v>0.12600912590539223</v>
      </c>
      <c r="C32" s="24">
        <v>0.10167651039202449</v>
      </c>
      <c r="D32">
        <f t="shared" si="2"/>
        <v>0.41010133211163818</v>
      </c>
    </row>
    <row r="33" spans="1:4" x14ac:dyDescent="0.45">
      <c r="A33">
        <v>0.6</v>
      </c>
      <c r="B33" s="24">
        <v>0.12948205859890441</v>
      </c>
      <c r="C33" s="24">
        <v>0.13367152782645364</v>
      </c>
      <c r="D33">
        <f t="shared" si="2"/>
        <v>0.64620171112387315</v>
      </c>
    </row>
    <row r="34" spans="1:4" x14ac:dyDescent="0.45">
      <c r="A34">
        <v>0.7</v>
      </c>
      <c r="B34" s="24">
        <v>0.13521667979979521</v>
      </c>
      <c r="C34" s="24">
        <v>0.17166820758589676</v>
      </c>
      <c r="D34">
        <f t="shared" si="2"/>
        <v>0.89980176828806469</v>
      </c>
    </row>
    <row r="35" spans="1:4" x14ac:dyDescent="0.45">
      <c r="A35">
        <v>0.8</v>
      </c>
      <c r="B35" s="24">
        <v>0.15578666059468094</v>
      </c>
      <c r="C35" s="24">
        <v>0.26646341727010664</v>
      </c>
      <c r="D35">
        <f t="shared" si="2"/>
        <v>1.3894862143126099</v>
      </c>
    </row>
    <row r="36" spans="1:4" x14ac:dyDescent="0.45">
      <c r="A36">
        <v>0.9</v>
      </c>
      <c r="B36" s="24">
        <v>0.18309828532195591</v>
      </c>
      <c r="C36" s="24">
        <v>0.36242623256963719</v>
      </c>
      <c r="D36">
        <f t="shared" si="2"/>
        <v>1.7063307393636917</v>
      </c>
    </row>
    <row r="37" spans="1:4" x14ac:dyDescent="0.45">
      <c r="A37">
        <v>1</v>
      </c>
      <c r="B37" s="24">
        <v>0.2451755275252904</v>
      </c>
      <c r="C37" s="24">
        <v>0.54555887596236508</v>
      </c>
      <c r="D37">
        <f t="shared" si="2"/>
        <v>2.0212411938677164</v>
      </c>
    </row>
    <row r="38" spans="1:4" x14ac:dyDescent="0.45">
      <c r="A38" s="33" t="s">
        <v>137</v>
      </c>
      <c r="B38" s="33">
        <f>INDEX(B27:B37,MATCH(MAX(D27:D37),D27:D37,0),1)</f>
        <v>0.2451755275252904</v>
      </c>
      <c r="C38" s="33">
        <f>INDEX(C27:C37,MATCH(MAX(D27:D37),D27:D37,0),1)</f>
        <v>0.54555887596236508</v>
      </c>
      <c r="D38" s="33">
        <f>MAX(D27:D37)</f>
        <v>2.0212411938677164</v>
      </c>
    </row>
  </sheetData>
  <mergeCells count="3">
    <mergeCell ref="A4:D4"/>
    <mergeCell ref="A25:D25"/>
    <mergeCell ref="F25:H2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2A8A2-6B66-46C5-B3C8-B568401136E7}">
  <sheetPr codeName="Sheet8"/>
  <dimension ref="C23:O45"/>
  <sheetViews>
    <sheetView topLeftCell="A13" zoomScale="55" zoomScaleNormal="55" workbookViewId="0">
      <selection activeCell="C33" sqref="C33"/>
    </sheetView>
  </sheetViews>
  <sheetFormatPr defaultRowHeight="14.25" x14ac:dyDescent="0.45"/>
  <cols>
    <col min="3" max="3" width="17.1328125" bestFit="1" customWidth="1"/>
    <col min="4" max="6" width="15.73046875" customWidth="1"/>
    <col min="7" max="7" width="21.1328125" bestFit="1" customWidth="1"/>
    <col min="12" max="12" width="21.06640625" bestFit="1" customWidth="1"/>
    <col min="13" max="13" width="12.73046875" bestFit="1" customWidth="1"/>
    <col min="14" max="14" width="16.265625" bestFit="1" customWidth="1"/>
    <col min="15" max="15" width="13.1328125" bestFit="1" customWidth="1"/>
  </cols>
  <sheetData>
    <row r="23" spans="3:15" x14ac:dyDescent="0.45">
      <c r="C23" s="35" t="s">
        <v>148</v>
      </c>
      <c r="D23" s="35" t="s">
        <v>125</v>
      </c>
      <c r="E23" s="35" t="s">
        <v>126</v>
      </c>
      <c r="F23" s="35" t="s">
        <v>127</v>
      </c>
      <c r="G23" s="35" t="s">
        <v>149</v>
      </c>
      <c r="L23" s="36"/>
      <c r="M23" s="36" t="s">
        <v>152</v>
      </c>
      <c r="N23" s="36" t="s">
        <v>153</v>
      </c>
      <c r="O23" s="36" t="s">
        <v>154</v>
      </c>
    </row>
    <row r="24" spans="3:15" x14ac:dyDescent="0.45">
      <c r="C24" t="s">
        <v>43</v>
      </c>
      <c r="D24">
        <v>-2.4085729781583656E-2</v>
      </c>
      <c r="E24">
        <v>-5.3580896389220097E-2</v>
      </c>
      <c r="F24">
        <v>-7.1278590831019353E-2</v>
      </c>
      <c r="G24" t="s">
        <v>139</v>
      </c>
      <c r="L24" s="39" t="s">
        <v>142</v>
      </c>
      <c r="M24">
        <v>-8.1429803531585687E-2</v>
      </c>
      <c r="N24">
        <v>-0.39896303745033301</v>
      </c>
      <c r="O24">
        <v>-0.57501041374715167</v>
      </c>
    </row>
    <row r="25" spans="3:15" x14ac:dyDescent="0.45">
      <c r="C25" t="s">
        <v>44</v>
      </c>
      <c r="D25">
        <v>-2.3030340993480558E-2</v>
      </c>
      <c r="E25">
        <v>-1.2374171639577042E-2</v>
      </c>
      <c r="F25">
        <v>-7.3823044965578219E-3</v>
      </c>
      <c r="G25" t="s">
        <v>140</v>
      </c>
      <c r="L25" s="39" t="s">
        <v>143</v>
      </c>
      <c r="M25">
        <v>5.3634420496996849E-3</v>
      </c>
      <c r="N25">
        <v>6.9609842917148321E-2</v>
      </c>
      <c r="O25">
        <v>0.10592774972358285</v>
      </c>
    </row>
    <row r="26" spans="3:15" x14ac:dyDescent="0.45">
      <c r="C26" t="s">
        <v>45</v>
      </c>
      <c r="D26">
        <v>1.1766221241766042E-2</v>
      </c>
      <c r="E26">
        <v>7.3791707001489862E-2</v>
      </c>
      <c r="F26">
        <v>0.10638159347242424</v>
      </c>
      <c r="G26" t="s">
        <v>143</v>
      </c>
      <c r="L26" s="39" t="s">
        <v>140</v>
      </c>
      <c r="M26">
        <v>-0.10945769691214824</v>
      </c>
      <c r="N26">
        <v>0.15888065105122992</v>
      </c>
      <c r="O26">
        <v>0.30708640472292681</v>
      </c>
    </row>
    <row r="27" spans="3:15" x14ac:dyDescent="0.45">
      <c r="C27" t="s">
        <v>46</v>
      </c>
      <c r="D27">
        <v>-9.0591873328778657E-3</v>
      </c>
      <c r="E27">
        <v>-0.20482276786786491</v>
      </c>
      <c r="F27">
        <v>-0.31485521509363179</v>
      </c>
      <c r="G27" t="s">
        <v>139</v>
      </c>
      <c r="L27" s="39" t="s">
        <v>146</v>
      </c>
      <c r="M27">
        <v>6.2925792902447333E-2</v>
      </c>
      <c r="N27">
        <v>6.2159453410987201E-3</v>
      </c>
      <c r="O27">
        <v>-2.7617916516135693E-2</v>
      </c>
    </row>
    <row r="28" spans="3:15" x14ac:dyDescent="0.45">
      <c r="C28" t="s">
        <v>47</v>
      </c>
      <c r="D28">
        <v>3.6847385631099933E-2</v>
      </c>
      <c r="E28">
        <v>-8.4206951682369441E-3</v>
      </c>
      <c r="F28">
        <v>-3.463064234228392E-2</v>
      </c>
      <c r="G28" t="s">
        <v>140</v>
      </c>
      <c r="L28" s="39" t="s">
        <v>144</v>
      </c>
      <c r="M28">
        <v>0.13442784843494104</v>
      </c>
      <c r="N28">
        <v>0.43314091506431901</v>
      </c>
      <c r="O28">
        <v>0.60659007755612937</v>
      </c>
    </row>
    <row r="29" spans="3:15" x14ac:dyDescent="0.45">
      <c r="C29" t="s">
        <v>48</v>
      </c>
      <c r="D29">
        <v>-0.10090062628828239</v>
      </c>
      <c r="E29">
        <v>-0.22485374225451835</v>
      </c>
      <c r="F29">
        <v>-0.29200141767340615</v>
      </c>
      <c r="G29" t="s">
        <v>142</v>
      </c>
      <c r="L29" s="39" t="s">
        <v>139</v>
      </c>
      <c r="M29">
        <v>0.50714615251886686</v>
      </c>
      <c r="N29">
        <v>5.8322748552316894E-2</v>
      </c>
      <c r="O29">
        <v>-0.19420492144664936</v>
      </c>
    </row>
    <row r="30" spans="3:15" x14ac:dyDescent="0.45">
      <c r="C30" t="s">
        <v>49</v>
      </c>
      <c r="D30">
        <v>3.3962187144303324E-2</v>
      </c>
      <c r="E30">
        <v>7.1390632052131886E-3</v>
      </c>
      <c r="F30">
        <v>-6.0761008395865419E-3</v>
      </c>
      <c r="G30" t="s">
        <v>143</v>
      </c>
      <c r="L30" s="39" t="s">
        <v>141</v>
      </c>
      <c r="M30">
        <v>2.2445067144921289E-2</v>
      </c>
      <c r="N30">
        <v>1.4473895826637856E-2</v>
      </c>
      <c r="O30">
        <v>1.0511633933043663E-2</v>
      </c>
    </row>
    <row r="31" spans="3:15" x14ac:dyDescent="0.45">
      <c r="C31" t="s">
        <v>50</v>
      </c>
      <c r="D31">
        <v>4.6826344630112714E-3</v>
      </c>
      <c r="E31">
        <v>4.1334784565446661E-2</v>
      </c>
      <c r="F31">
        <v>7.4931746761679588E-2</v>
      </c>
      <c r="G31" t="s">
        <v>144</v>
      </c>
      <c r="L31" s="39" t="s">
        <v>147</v>
      </c>
      <c r="M31">
        <v>0.45857920307969086</v>
      </c>
      <c r="N31">
        <v>0.6583190808785474</v>
      </c>
      <c r="O31">
        <v>0.76671739760262836</v>
      </c>
    </row>
    <row r="32" spans="3:15" x14ac:dyDescent="0.45">
      <c r="C32" t="s">
        <v>51</v>
      </c>
      <c r="D32">
        <v>0.5402910696333284</v>
      </c>
      <c r="E32">
        <v>0.31672641280940189</v>
      </c>
      <c r="F32">
        <v>0.19192888447800177</v>
      </c>
      <c r="G32" t="s">
        <v>139</v>
      </c>
      <c r="L32" s="39" t="s">
        <v>151</v>
      </c>
      <c r="M32">
        <v>1.0000000056868332</v>
      </c>
      <c r="N32">
        <v>1.0000000421809652</v>
      </c>
      <c r="O32">
        <v>1.0000000118283743</v>
      </c>
    </row>
    <row r="33" spans="3:7" x14ac:dyDescent="0.45">
      <c r="C33" t="s">
        <v>52</v>
      </c>
      <c r="D33">
        <v>-4.0364966336369684E-2</v>
      </c>
      <c r="E33">
        <v>-1.1320927289554739E-2</v>
      </c>
      <c r="F33">
        <v>5.6222570907451478E-3</v>
      </c>
      <c r="G33" t="s">
        <v>143</v>
      </c>
    </row>
    <row r="34" spans="3:7" x14ac:dyDescent="0.45">
      <c r="C34" t="s">
        <v>53</v>
      </c>
      <c r="D34">
        <v>0.13081857428827162</v>
      </c>
      <c r="E34">
        <v>0.32471170589284715</v>
      </c>
      <c r="F34">
        <v>0.42460205529772138</v>
      </c>
      <c r="G34" t="s">
        <v>144</v>
      </c>
    </row>
    <row r="35" spans="3:7" x14ac:dyDescent="0.45">
      <c r="C35" t="s">
        <v>54</v>
      </c>
      <c r="D35">
        <v>-3.5925749164685522E-2</v>
      </c>
      <c r="E35">
        <v>1.2914470357434968E-2</v>
      </c>
      <c r="F35">
        <v>4.2261771845117271E-2</v>
      </c>
      <c r="G35" t="s">
        <v>141</v>
      </c>
    </row>
    <row r="36" spans="3:7" x14ac:dyDescent="0.45">
      <c r="C36" t="s">
        <v>80</v>
      </c>
      <c r="D36">
        <v>-8.6339864623411963E-3</v>
      </c>
      <c r="E36">
        <v>2.3904824653928288E-2</v>
      </c>
      <c r="F36">
        <v>3.7777786219764346E-2</v>
      </c>
      <c r="G36" t="s">
        <v>140</v>
      </c>
    </row>
    <row r="37" spans="3:7" x14ac:dyDescent="0.45">
      <c r="C37" t="s">
        <v>56</v>
      </c>
      <c r="D37">
        <v>1.9470822756696711E-2</v>
      </c>
      <c r="E37">
        <v>-0.1741092951958147</v>
      </c>
      <c r="F37">
        <v>-0.28300899607374552</v>
      </c>
      <c r="G37" t="s">
        <v>145</v>
      </c>
    </row>
    <row r="38" spans="3:7" x14ac:dyDescent="0.45">
      <c r="C38" t="s">
        <v>57</v>
      </c>
      <c r="D38">
        <v>6.2925792902447333E-2</v>
      </c>
      <c r="E38">
        <v>6.2159453410987201E-3</v>
      </c>
      <c r="F38">
        <v>-2.7617916516135693E-2</v>
      </c>
      <c r="G38" t="s">
        <v>146</v>
      </c>
    </row>
    <row r="39" spans="3:7" x14ac:dyDescent="0.45">
      <c r="C39" t="s">
        <v>58</v>
      </c>
      <c r="D39">
        <v>5.8370816309606811E-2</v>
      </c>
      <c r="E39">
        <v>1.5594254692028876E-3</v>
      </c>
      <c r="F39">
        <v>-3.1750137912073609E-2</v>
      </c>
      <c r="G39" t="s">
        <v>141</v>
      </c>
    </row>
    <row r="40" spans="3:7" x14ac:dyDescent="0.45">
      <c r="C40" t="s">
        <v>59</v>
      </c>
      <c r="D40">
        <v>0.45857920307969086</v>
      </c>
      <c r="E40">
        <v>0.6583190808785474</v>
      </c>
      <c r="F40">
        <v>0.76671739760262836</v>
      </c>
      <c r="G40" t="s">
        <v>147</v>
      </c>
    </row>
    <row r="41" spans="3:7" x14ac:dyDescent="0.45">
      <c r="C41" t="s">
        <v>60</v>
      </c>
      <c r="D41">
        <v>-3.6587685808849475E-2</v>
      </c>
      <c r="E41">
        <v>6.1871758131242023E-2</v>
      </c>
      <c r="F41">
        <v>0.11950486631197914</v>
      </c>
      <c r="G41" t="s">
        <v>144</v>
      </c>
    </row>
    <row r="42" spans="3:7" x14ac:dyDescent="0.45">
      <c r="C42" t="s">
        <v>62</v>
      </c>
      <c r="D42">
        <v>-0.11464075508742642</v>
      </c>
      <c r="E42">
        <v>0.15577069320511561</v>
      </c>
      <c r="F42">
        <v>0.31132156534200423</v>
      </c>
      <c r="G42" t="s">
        <v>140</v>
      </c>
    </row>
    <row r="43" spans="3:7" x14ac:dyDescent="0.45">
      <c r="C43" t="s">
        <v>61</v>
      </c>
      <c r="D43">
        <v>3.5514325492507624E-2</v>
      </c>
      <c r="E43">
        <v>5.2226664747832214E-3</v>
      </c>
      <c r="F43">
        <v>-1.2448590815250786E-2</v>
      </c>
      <c r="G43" t="s">
        <v>144</v>
      </c>
    </row>
    <row r="45" spans="3:7" x14ac:dyDescent="0.45">
      <c r="C45" t="s">
        <v>150</v>
      </c>
      <c r="D45" s="38">
        <f>SUM(D24:D43)</f>
        <v>1.0000000056868334</v>
      </c>
      <c r="E45" s="38">
        <f t="shared" ref="E45:F45" si="0">SUM(E24:E43)</f>
        <v>1.0000000421809652</v>
      </c>
      <c r="F45" s="38">
        <f t="shared" si="0"/>
        <v>1.0000000118283743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30</vt:i4>
      </vt:variant>
    </vt:vector>
  </HeadingPairs>
  <TitlesOfParts>
    <vt:vector size="37" baseType="lpstr">
      <vt:lpstr>Part2(a)</vt:lpstr>
      <vt:lpstr>Part2(b)</vt:lpstr>
      <vt:lpstr>Analysis IV - Solver Only</vt:lpstr>
      <vt:lpstr>Run Macro Here</vt:lpstr>
      <vt:lpstr>Part2(e,f)</vt:lpstr>
      <vt:lpstr>Part3</vt:lpstr>
      <vt:lpstr>Part4</vt:lpstr>
      <vt:lpstr>altm_ret</vt:lpstr>
      <vt:lpstr>amrc_ret</vt:lpstr>
      <vt:lpstr>appn_ret</vt:lpstr>
      <vt:lpstr>aprn_ret</vt:lpstr>
      <vt:lpstr>artna_ret</vt:lpstr>
      <vt:lpstr>atus_ret</vt:lpstr>
      <vt:lpstr>bkr_ret</vt:lpstr>
      <vt:lpstr>bxmt_ret</vt:lpstr>
      <vt:lpstr>corr_mat</vt:lpstr>
      <vt:lpstr>crd_ret</vt:lpstr>
      <vt:lpstr>equal_w</vt:lpstr>
      <vt:lpstr>fph_ret</vt:lpstr>
      <vt:lpstr>hov_ret</vt:lpstr>
      <vt:lpstr>mgy_ret</vt:lpstr>
      <vt:lpstr>mog_ret</vt:lpstr>
      <vt:lpstr>Mu</vt:lpstr>
      <vt:lpstr>OMEGA</vt:lpstr>
      <vt:lpstr>port_P_ret</vt:lpstr>
      <vt:lpstr>quad_ret</vt:lpstr>
      <vt:lpstr>Rf</vt:lpstr>
      <vt:lpstr>soi_ret</vt:lpstr>
      <vt:lpstr>tcx_ret</vt:lpstr>
      <vt:lpstr>viaca_ret</vt:lpstr>
      <vt:lpstr>Volatilities</vt:lpstr>
      <vt:lpstr>voxx_ret</vt:lpstr>
      <vt:lpstr>w_short</vt:lpstr>
      <vt:lpstr>w_without_short</vt:lpstr>
      <vt:lpstr>'Run Macro Here'!weight</vt:lpstr>
      <vt:lpstr>wso_ret</vt:lpstr>
      <vt:lpstr>wttr_ret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KMS</dc:creator>
  <cp:lastModifiedBy>Koki Taniguchi</cp:lastModifiedBy>
  <dcterms:created xsi:type="dcterms:W3CDTF">2015-08-26T16:55:22Z</dcterms:created>
  <dcterms:modified xsi:type="dcterms:W3CDTF">2024-11-16T13:15:07Z</dcterms:modified>
</cp:coreProperties>
</file>